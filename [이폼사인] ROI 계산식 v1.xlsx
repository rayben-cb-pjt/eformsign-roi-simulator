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FORCS\Downloads\"/>
    </mc:Choice>
  </mc:AlternateContent>
  <xr:revisionPtr revIDLastSave="0" documentId="13_ncr:1_{2D090F1A-9BCB-4878-B320-F4273DDCA3E3}" xr6:coauthVersionLast="47" xr6:coauthVersionMax="47" xr10:uidLastSave="{00000000-0000-0000-0000-000000000000}"/>
  <bookViews>
    <workbookView xWindow="38280" yWindow="2340" windowWidth="38640" windowHeight="21120" activeTab="2" xr2:uid="{00000000-000D-0000-FFFF-FFFF00000000}"/>
  </bookViews>
  <sheets>
    <sheet name="Sheet1" sheetId="1" r:id="rId1"/>
    <sheet name="Claude Log" sheetId="2" r:id="rId2"/>
    <sheet name="Assump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2" i="3" l="1"/>
  <c r="E74" i="3" s="1"/>
  <c r="K53" i="3"/>
  <c r="J53" i="3"/>
  <c r="K52" i="3"/>
  <c r="J52" i="3"/>
  <c r="L46" i="3"/>
  <c r="J46" i="3"/>
  <c r="L45" i="3"/>
  <c r="K45" i="3"/>
  <c r="J45" i="3"/>
  <c r="L44" i="3"/>
  <c r="J44" i="3"/>
  <c r="L43" i="3"/>
  <c r="K43" i="3"/>
  <c r="J43" i="3"/>
  <c r="L42" i="3"/>
  <c r="K42" i="3"/>
  <c r="J42" i="3"/>
  <c r="J27" i="1"/>
  <c r="M27" i="1" s="1"/>
  <c r="J26" i="1"/>
  <c r="M26" i="1" s="1"/>
  <c r="M12" i="1"/>
  <c r="L11" i="1"/>
  <c r="K11" i="1"/>
  <c r="J11" i="1"/>
  <c r="M6" i="1"/>
  <c r="L5" i="1"/>
  <c r="K5" i="1"/>
  <c r="J5" i="1"/>
  <c r="M5" i="1" s="1"/>
  <c r="N5" i="1" s="1"/>
  <c r="E38" i="3"/>
  <c r="E34" i="3"/>
  <c r="D34" i="3"/>
  <c r="F34" i="3" s="1"/>
  <c r="F28" i="3"/>
  <c r="F60" i="3" s="1"/>
  <c r="F27" i="3"/>
  <c r="F59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D16" i="3"/>
  <c r="E33" i="3" s="1"/>
  <c r="D12" i="3"/>
  <c r="D38" i="3" s="1"/>
  <c r="F38" i="3" s="1"/>
  <c r="D6" i="3"/>
  <c r="C7" i="1" s="1"/>
  <c r="E7" i="1" s="1"/>
  <c r="K19" i="1"/>
  <c r="K18" i="1"/>
  <c r="L18" i="1" s="1"/>
  <c r="J20" i="1"/>
  <c r="L20" i="1" s="1"/>
  <c r="J19" i="1"/>
  <c r="L19" i="1" s="1"/>
  <c r="M19" i="1" s="1"/>
  <c r="C5" i="1" l="1"/>
  <c r="E5" i="1" s="1"/>
  <c r="C6" i="1"/>
  <c r="E6" i="1" s="1"/>
  <c r="C23" i="3"/>
  <c r="D23" i="3"/>
  <c r="C24" i="3"/>
  <c r="D24" i="3"/>
  <c r="C27" i="3"/>
  <c r="D27" i="3"/>
  <c r="F53" i="3"/>
  <c r="F54" i="3"/>
  <c r="C28" i="3"/>
  <c r="D28" i="3"/>
  <c r="D25" i="3"/>
  <c r="F55" i="3"/>
  <c r="F56" i="3"/>
  <c r="D35" i="3"/>
  <c r="E35" i="3"/>
  <c r="E36" i="3"/>
  <c r="G28" i="3"/>
  <c r="E32" i="3"/>
  <c r="F57" i="3"/>
  <c r="C25" i="3"/>
  <c r="C22" i="3"/>
  <c r="F58" i="3"/>
  <c r="G27" i="3"/>
  <c r="C21" i="3"/>
  <c r="D21" i="3"/>
  <c r="D36" i="3"/>
  <c r="D32" i="3"/>
  <c r="D37" i="3"/>
  <c r="D22" i="3"/>
  <c r="D26" i="3"/>
  <c r="D33" i="3"/>
  <c r="F33" i="3" s="1"/>
  <c r="E37" i="3"/>
  <c r="C26" i="3"/>
  <c r="M11" i="1"/>
  <c r="N11" i="1" s="1"/>
  <c r="L26" i="1"/>
  <c r="O26" i="1" s="1"/>
  <c r="J28" i="1"/>
  <c r="K27" i="1"/>
  <c r="N27" i="1" s="1"/>
  <c r="K26" i="1"/>
  <c r="N26" i="1" s="1"/>
  <c r="L27" i="1"/>
  <c r="M18" i="1"/>
  <c r="E22" i="3" l="1"/>
  <c r="C54" i="3" s="1"/>
  <c r="E27" i="3"/>
  <c r="C59" i="3" s="1"/>
  <c r="E25" i="3"/>
  <c r="C57" i="3" s="1"/>
  <c r="E24" i="3"/>
  <c r="E23" i="3"/>
  <c r="C55" i="3" s="1"/>
  <c r="F37" i="3"/>
  <c r="E26" i="3"/>
  <c r="C58" i="3" s="1"/>
  <c r="F35" i="3"/>
  <c r="F36" i="3"/>
  <c r="G36" i="3" s="1"/>
  <c r="E21" i="3"/>
  <c r="C53" i="3" s="1"/>
  <c r="F32" i="3"/>
  <c r="G32" i="3" s="1"/>
  <c r="E28" i="3"/>
  <c r="C60" i="3" s="1"/>
  <c r="L28" i="1"/>
  <c r="O27" i="1"/>
  <c r="O28" i="1" s="1"/>
  <c r="N28" i="1"/>
  <c r="K28" i="1"/>
  <c r="C56" i="3" l="1"/>
  <c r="C43" i="3"/>
  <c r="G34" i="3"/>
  <c r="G38" i="3"/>
  <c r="G37" i="3"/>
  <c r="G33" i="3"/>
  <c r="C45" i="3" l="1"/>
  <c r="C46" i="3"/>
  <c r="C44" i="3"/>
</calcChain>
</file>

<file path=xl/sharedStrings.xml><?xml version="1.0" encoding="utf-8"?>
<sst xmlns="http://schemas.openxmlformats.org/spreadsheetml/2006/main" count="215" uniqueCount="163">
  <si>
    <t>Case 1. ESG 정량 지표</t>
    <phoneticPr fontId="1" type="noConversion"/>
  </si>
  <si>
    <t>변수</t>
    <phoneticPr fontId="1" type="noConversion"/>
  </si>
  <si>
    <t>CO2 배출 감소</t>
    <phoneticPr fontId="1" type="noConversion"/>
  </si>
  <si>
    <t>항목</t>
    <phoneticPr fontId="1" type="noConversion"/>
  </si>
  <si>
    <t>단위</t>
    <phoneticPr fontId="1" type="noConversion"/>
  </si>
  <si>
    <t>나무 보호 효과</t>
    <phoneticPr fontId="1" type="noConversion"/>
  </si>
  <si>
    <t>비고</t>
    <phoneticPr fontId="1" type="noConversion"/>
  </si>
  <si>
    <t>물 절약</t>
    <phoneticPr fontId="1" type="noConversion"/>
  </si>
  <si>
    <t>단위값 : 리터(L)</t>
    <phoneticPr fontId="1" type="noConversion"/>
  </si>
  <si>
    <t>단위값 : 그루</t>
    <phoneticPr fontId="1" type="noConversion"/>
  </si>
  <si>
    <t>단위값 : kg</t>
    <phoneticPr fontId="1" type="noConversion"/>
  </si>
  <si>
    <t>-</t>
    <phoneticPr fontId="1" type="noConversion"/>
  </si>
  <si>
    <t>왕복교통비</t>
    <phoneticPr fontId="1" type="noConversion"/>
  </si>
  <si>
    <t>전자계약</t>
    <phoneticPr fontId="1" type="noConversion"/>
  </si>
  <si>
    <t>총 소요 비용</t>
    <phoneticPr fontId="1" type="noConversion"/>
  </si>
  <si>
    <t>*교통비 : SRT 기준 서울↔지방</t>
    <phoneticPr fontId="1" type="noConversion"/>
  </si>
  <si>
    <t>출장 식비</t>
    <phoneticPr fontId="1" type="noConversion"/>
  </si>
  <si>
    <t>출장 숙박비</t>
    <phoneticPr fontId="1" type="noConversion"/>
  </si>
  <si>
    <t>X</t>
    <phoneticPr fontId="1" type="noConversion"/>
  </si>
  <si>
    <t>* 1만 건 구매 기준 건당 비용</t>
    <phoneticPr fontId="1" type="noConversion"/>
  </si>
  <si>
    <t>절감 %</t>
    <phoneticPr fontId="1" type="noConversion"/>
  </si>
  <si>
    <t>Case2. 대면 시 비용 절감 효과 비교 (단위 : 원)</t>
    <phoneticPr fontId="1" type="noConversion"/>
  </si>
  <si>
    <t>등기비용</t>
    <phoneticPr fontId="1" type="noConversion"/>
  </si>
  <si>
    <t>시급</t>
    <phoneticPr fontId="1" type="noConversion"/>
  </si>
  <si>
    <t>Case3. 등기(우체국) 계약 시 비용 절감 효과 비교 (단위 : 원)</t>
    <phoneticPr fontId="1" type="noConversion"/>
  </si>
  <si>
    <t>* 시급의 경우, 담당자 우체국 방문 시 타 업무 진행 불가능을 이유로 계산식에 산정</t>
    <phoneticPr fontId="1" type="noConversion"/>
  </si>
  <si>
    <t>대면계약</t>
    <phoneticPr fontId="1" type="noConversion"/>
  </si>
  <si>
    <t>등기계약</t>
    <phoneticPr fontId="1" type="noConversion"/>
  </si>
  <si>
    <t>등기서명</t>
    <phoneticPr fontId="1" type="noConversion"/>
  </si>
  <si>
    <t>전자서명</t>
    <phoneticPr fontId="1" type="noConversion"/>
  </si>
  <si>
    <t>대면서명</t>
    <phoneticPr fontId="1" type="noConversion"/>
  </si>
  <si>
    <t>계약 예상 시간</t>
    <phoneticPr fontId="1" type="noConversion"/>
  </si>
  <si>
    <t>보관 시간</t>
    <phoneticPr fontId="1" type="noConversion"/>
  </si>
  <si>
    <t>ㅁ 단건 1분, 다건 2분 소요(평균)
ㅁ 문서 완료 시, 자동 보관</t>
    <phoneticPr fontId="1" type="noConversion"/>
  </si>
  <si>
    <t>총 업무시간</t>
    <phoneticPr fontId="1" type="noConversion"/>
  </si>
  <si>
    <t>시간 절감(항목 대비)</t>
    <phoneticPr fontId="1" type="noConversion"/>
  </si>
  <si>
    <t>결 과 값</t>
    <phoneticPr fontId="1" type="noConversion"/>
  </si>
  <si>
    <t>산출 근거 : KEI(한국환경연구원) 연구 기준</t>
    <phoneticPr fontId="1" type="noConversion"/>
  </si>
  <si>
    <t>전환 퍼센테지</t>
    <phoneticPr fontId="1" type="noConversion"/>
  </si>
  <si>
    <t>절감비용</t>
    <phoneticPr fontId="1" type="noConversion"/>
  </si>
  <si>
    <t>합  계</t>
    <phoneticPr fontId="1" type="noConversion"/>
  </si>
  <si>
    <t>절감 업무일</t>
    <phoneticPr fontId="1" type="noConversion"/>
  </si>
  <si>
    <r>
      <t xml:space="preserve">ㅁ 등기 업무 1시간 가정
</t>
    </r>
    <r>
      <rPr>
        <sz val="9"/>
        <color theme="1"/>
        <rFont val="나눔스퀘어"/>
        <family val="3"/>
        <charset val="129"/>
      </rPr>
      <t xml:space="preserve"> - 교통비 : 버스비 왕복(3,000원) 
 - 등기비 : 익일특급 기준) 
 - 시급 : 2025년 최저 시급 기준</t>
    </r>
    <phoneticPr fontId="1" type="noConversion"/>
  </si>
  <si>
    <r>
      <rPr>
        <b/>
        <sz val="15"/>
        <color theme="1"/>
        <rFont val="나눔스퀘어"/>
        <family val="3"/>
        <charset val="129"/>
      </rPr>
      <t>기타</t>
    </r>
    <r>
      <rPr>
        <b/>
        <sz val="15"/>
        <color theme="1"/>
        <rFont val="15"/>
        <family val="2"/>
      </rPr>
      <t xml:space="preserve"> : </t>
    </r>
    <r>
      <rPr>
        <b/>
        <sz val="15"/>
        <color theme="1"/>
        <rFont val="나눔스퀘어"/>
        <family val="3"/>
        <charset val="129"/>
      </rPr>
      <t>종이</t>
    </r>
    <r>
      <rPr>
        <b/>
        <sz val="15"/>
        <color theme="1"/>
        <rFont val="15"/>
        <family val="2"/>
      </rPr>
      <t xml:space="preserve"> </t>
    </r>
    <r>
      <rPr>
        <b/>
        <sz val="15"/>
        <color theme="1"/>
        <rFont val="나눔스퀘어"/>
        <family val="3"/>
        <charset val="129"/>
      </rPr>
      <t>문서</t>
    </r>
    <r>
      <rPr>
        <b/>
        <sz val="15"/>
        <color theme="1"/>
        <rFont val="15"/>
        <family val="2"/>
      </rPr>
      <t xml:space="preserve"> </t>
    </r>
    <r>
      <rPr>
        <b/>
        <sz val="15"/>
        <color theme="1"/>
        <rFont val="나눔스퀘어"/>
        <family val="3"/>
        <charset val="129"/>
      </rPr>
      <t>위험</t>
    </r>
    <r>
      <rPr>
        <b/>
        <sz val="15"/>
        <color theme="1"/>
        <rFont val="15"/>
        <family val="2"/>
      </rPr>
      <t xml:space="preserve"> </t>
    </r>
    <r>
      <rPr>
        <b/>
        <sz val="15"/>
        <color theme="1"/>
        <rFont val="나눔스퀘어"/>
        <family val="3"/>
        <charset val="129"/>
      </rPr>
      <t>비용</t>
    </r>
    <r>
      <rPr>
        <b/>
        <sz val="15"/>
        <color theme="1"/>
        <rFont val="15"/>
        <family val="2"/>
      </rPr>
      <t xml:space="preserve"> </t>
    </r>
    <r>
      <rPr>
        <b/>
        <sz val="15"/>
        <color theme="1"/>
        <rFont val="나눔스퀘어"/>
        <family val="3"/>
        <charset val="129"/>
      </rPr>
      <t>제로화</t>
    </r>
    <phoneticPr fontId="1" type="noConversion"/>
  </si>
  <si>
    <t>Case4. 업무 시간 절감 효과 (단위 : 1 업무일, 8시간)</t>
    <phoneticPr fontId="1" type="noConversion"/>
  </si>
  <si>
    <t>총 절감 비용</t>
    <phoneticPr fontId="1" type="noConversion"/>
  </si>
  <si>
    <r>
      <t>#</t>
    </r>
    <r>
      <rPr>
        <b/>
        <sz val="15"/>
        <color theme="1"/>
        <rFont val="맑은 고딕"/>
        <family val="3"/>
        <charset val="129"/>
      </rPr>
      <t>결과</t>
    </r>
    <r>
      <rPr>
        <b/>
        <sz val="15"/>
        <color theme="1"/>
        <rFont val="Arial"/>
        <family val="2"/>
      </rPr>
      <t xml:space="preserve"> : </t>
    </r>
    <r>
      <rPr>
        <b/>
        <sz val="15"/>
        <color theme="1"/>
        <rFont val="맑은 고딕"/>
        <family val="3"/>
        <charset val="129"/>
      </rPr>
      <t>총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맑은 고딕"/>
        <family val="3"/>
        <charset val="129"/>
      </rPr>
      <t>비용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맑은 고딕"/>
        <family val="3"/>
        <charset val="129"/>
      </rPr>
      <t>및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맑은 고딕"/>
        <family val="3"/>
        <charset val="129"/>
      </rPr>
      <t>업무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맑은 고딕"/>
        <family val="3"/>
        <charset val="129"/>
      </rPr>
      <t>시간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맑은 고딕"/>
        <family val="3"/>
        <charset val="129"/>
      </rPr>
      <t>절감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15"/>
      </rPr>
      <t>(단위 : 원/업무일)</t>
    </r>
    <phoneticPr fontId="1" type="noConversion"/>
  </si>
  <si>
    <t>총 절감 업무일</t>
    <phoneticPr fontId="1" type="noConversion"/>
  </si>
  <si>
    <t>템플릿(계약) 수</t>
    <phoneticPr fontId="1" type="noConversion"/>
  </si>
  <si>
    <t>* 1만 건 계약 예정으로, 템플릿 수(=계약서 수) 1만 건 계산식에 상정</t>
    <phoneticPr fontId="1" type="noConversion"/>
  </si>
  <si>
    <r>
      <t xml:space="preserve">ㅁ 산출 전제
</t>
    </r>
    <r>
      <rPr>
        <sz val="17"/>
        <color theme="1"/>
        <rFont val="나눔스퀘어"/>
        <family val="3"/>
        <charset val="129"/>
      </rPr>
      <t xml:space="preserve">- 1만 건 사용 예정 + 1개 템플릿 A4 2장 구성으로 가정 후 계산
</t>
    </r>
    <r>
      <rPr>
        <sz val="17"/>
        <color rgb="FFFF0000"/>
        <rFont val="나눔스퀘어"/>
        <family val="3"/>
        <charset val="129"/>
      </rPr>
      <t xml:space="preserve">  * 총 2만 장 절약(A4 기준)</t>
    </r>
    <r>
      <rPr>
        <b/>
        <sz val="17"/>
        <color theme="1"/>
        <rFont val="나눔스퀘어"/>
        <family val="3"/>
        <charset val="129"/>
      </rPr>
      <t xml:space="preserve">
ㅁ 변수 처리
</t>
    </r>
    <r>
      <rPr>
        <sz val="17"/>
        <color theme="1"/>
        <rFont val="나눔스퀘어"/>
        <family val="3"/>
        <charset val="129"/>
      </rPr>
      <t xml:space="preserve"> - 노란색 채우기 부분 변수 입력 시, 자동 계산 </t>
    </r>
    <phoneticPr fontId="1" type="noConversion"/>
  </si>
  <si>
    <t>Turn #</t>
  </si>
  <si>
    <t>Timestamp</t>
  </si>
  <si>
    <t>Action Type</t>
  </si>
  <si>
    <t>Summary</t>
  </si>
  <si>
    <t>Details</t>
  </si>
  <si>
    <t>References</t>
  </si>
  <si>
    <t>Analysis</t>
  </si>
  <si>
    <t>ROI 계산식 검토 및 개선점 분석</t>
  </si>
  <si>
    <t>오타, 변수관리, 수식일관성, 추가기능 제안</t>
  </si>
  <si>
    <t>Sheet1!B3:O38</t>
  </si>
  <si>
    <t>ㅁ 보관 비용 제로
ㅁ A4 용지 구매 비용 제로
ㅁ 원본 훼손/분실 위험 제로
ㅁ 문서 미교부 위험 제로
ㅁ 문서 오기입/미기입으로 인한 재진행 비용 제로
ㅁ 원본 문서를 찾기 위한 시간 제로
ㅁ API 연동 시, 완료된 문서 시스템 기입/이동 시간 제로</t>
  </si>
  <si>
    <t>📋 주요 가정 (Assumptions)</t>
  </si>
  <si>
    <t>구분</t>
  </si>
  <si>
    <t>항목</t>
  </si>
  <si>
    <t>값</t>
  </si>
  <si>
    <t>단위</t>
  </si>
  <si>
    <t>계약 기본</t>
  </si>
  <si>
    <t>총 계약 건수</t>
  </si>
  <si>
    <t>건</t>
  </si>
  <si>
    <t>템플릿당 A4 장수</t>
  </si>
  <si>
    <t>장</t>
  </si>
  <si>
    <t>총 A4 절약 장수</t>
  </si>
  <si>
    <t>계약 유형 비율</t>
  </si>
  <si>
    <t>대면계약 비율</t>
  </si>
  <si>
    <t>등기계약 비율</t>
  </si>
  <si>
    <t>대면계약 비용</t>
  </si>
  <si>
    <t>왕복교통비</t>
  </si>
  <si>
    <t>원</t>
  </si>
  <si>
    <t>출장 숙박비</t>
  </si>
  <si>
    <t>출장 식비</t>
  </si>
  <si>
    <t>등기계약 비용</t>
  </si>
  <si>
    <t>왕복교통비(버스)</t>
  </si>
  <si>
    <t>등기비용(익일특급)</t>
  </si>
  <si>
    <t>시급(2025 최저시급)</t>
  </si>
  <si>
    <t>전자서명</t>
  </si>
  <si>
    <t>건당 비용</t>
  </si>
  <si>
    <t>📊 민감도 분석 - 계약 건수별 절감 효과</t>
  </si>
  <si>
    <t>계약 건수</t>
  </si>
  <si>
    <t>대면 절감비용</t>
  </si>
  <si>
    <t>등기 절감비용</t>
  </si>
  <si>
    <t>총 절감비용</t>
  </si>
  <si>
    <t>절감 업무일</t>
  </si>
  <si>
    <t>절감 연수</t>
  </si>
  <si>
    <t>비고</t>
  </si>
  <si>
    <t>← 현재 기준</t>
  </si>
  <si>
    <t>📈 대면/등기 비율별 절감 효과 (10,000건 기준)</t>
  </si>
  <si>
    <t>대면 비율</t>
  </si>
  <si>
    <t>등기 비율</t>
  </si>
  <si>
    <t>▶ 대면 총비용</t>
  </si>
  <si>
    <t>▶ 등기 총비용</t>
  </si>
  <si>
    <t>대면 절감(억)</t>
  </si>
  <si>
    <t>등기 절감(억)</t>
  </si>
  <si>
    <t>총 절감(억)</t>
  </si>
  <si>
    <t>기준 대비</t>
  </si>
  <si>
    <t>← 현재</t>
  </si>
  <si>
    <t>Created</t>
  </si>
  <si>
    <t>전체 개선사항 반영 완료</t>
  </si>
  <si>
    <t>1) 오타수정(제로), 2) % 포맷통일, 3) Assumptions 시트, 4) 민감도 분석 테이블</t>
  </si>
  <si>
    <t>Sheet1!I32, N5, N11 / Assumptions!B2:G38</t>
  </si>
  <si>
    <t>💰 ROI 분석 (투자 대비 수익률)</t>
  </si>
  <si>
    <t>이폼사인 연간 비용</t>
  </si>
  <si>
    <t>※ 예상 비용 입력</t>
  </si>
  <si>
    <t>연간 절감 비용</t>
  </si>
  <si>
    <t>10,000건 기준</t>
  </si>
  <si>
    <t>순 절감액</t>
  </si>
  <si>
    <t>ROI</t>
  </si>
  <si>
    <t>투자 회수 기간</t>
  </si>
  <si>
    <t>개월</t>
  </si>
  <si>
    <t>※ ROI 해석</t>
  </si>
  <si>
    <t>계약건수</t>
  </si>
  <si>
    <t>• ROI 8,352% = 투자금 800만원 대비 약 84배 수익 (6.68억 순절감)
• 회수기간 0.14개월 = 약 4일 만에 투자금 전액 회수
• 연간 절감액 6.76억원은 이폼사인 비용의 85배</t>
  </si>
  <si>
    <t>Sheet1↔Assumptions 연동, ROI, 차트데이터</t>
  </si>
  <si>
    <t>1) 변수 연동(C5:C7,J5:L5,J11:L11,J26:J27,M6,M12), 2) ROI분석(8,352%), 3) 차트데이터</t>
  </si>
  <si>
    <t>Sheet1, Assumptions!B40:F50, I19:L38</t>
  </si>
  <si>
    <t>Guide</t>
  </si>
  <si>
    <t>차트 생성 가이드 추가</t>
  </si>
  <si>
    <t>차트 데이터 준비 완료, 수동 생성 가이드 제공</t>
  </si>
  <si>
    <t>Assumptions!I40:L45</t>
  </si>
  <si>
    <t>절감(연)</t>
  </si>
  <si>
    <t>💰 차트A: 계약건수별 절감비용</t>
  </si>
  <si>
    <t>절감비용(억원)</t>
  </si>
  <si>
    <t>1,000건</t>
  </si>
  <si>
    <t>3,000건</t>
  </si>
  <si>
    <t>5,000건</t>
  </si>
  <si>
    <t>10,000건</t>
  </si>
  <si>
    <t>20,000건</t>
  </si>
  <si>
    <t>50,000건</t>
  </si>
  <si>
    <t>100,000건</t>
  </si>
  <si>
    <t>200,000건</t>
  </si>
  <si>
    <t>⏰ 차트B: 계약건수별 절감 연수</t>
  </si>
  <si>
    <t>Modified</t>
  </si>
  <si>
    <t>차트 데이터 분리 및 개선</t>
  </si>
  <si>
    <t>차트A(절감비용), 차트B(절감연수) 데이터 분리, X축 라벨 텍스트화</t>
  </si>
  <si>
    <t>Assumptions!I52:M68</t>
  </si>
  <si>
    <t>=절감비용-이폼사인비용</t>
    <phoneticPr fontId="1" type="noConversion"/>
  </si>
  <si>
    <t>=(절감-비용)/비용</t>
    <phoneticPr fontId="1" type="noConversion"/>
  </si>
  <si>
    <t>=비용/절감×12</t>
    <phoneticPr fontId="1" type="noConversion"/>
  </si>
  <si>
    <t>🔄 도입 전/후 비교</t>
  </si>
  <si>
    <t>도입 전</t>
  </si>
  <si>
    <t>도입 후</t>
  </si>
  <si>
    <t>절감률</t>
  </si>
  <si>
    <t>건당 비용(원)</t>
  </si>
  <si>
    <t>연간 총비용(억)</t>
  </si>
  <si>
    <t>처리 시간(분/건)</t>
  </si>
  <si>
    <t>연간 업무일</t>
  </si>
  <si>
    <t>CO2 배출(kg)</t>
  </si>
  <si>
    <t>원본 분실 위험</t>
  </si>
  <si>
    <t>있음</t>
  </si>
  <si>
    <t>제로</t>
  </si>
  <si>
    <t>-</t>
  </si>
  <si>
    <t>📊 차트C: 도입 전/후 비용 비교</t>
  </si>
  <si>
    <t>연간 비용(억)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</si>
</sst>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.0"/>
    <numFmt numFmtId="177" formatCode="0.000_ "/>
    <numFmt numFmtId="178" formatCode="0.0%"/>
    <numFmt numFmtId="179" formatCode="0.0"/>
    <numFmt numFmtId="182" formatCode="\+0.0;\-0.0"/>
  </numFmts>
  <fonts count="3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나눔스퀘어"/>
      <family val="3"/>
      <charset val="129"/>
    </font>
    <font>
      <sz val="11"/>
      <color theme="1"/>
      <name val="나눔스퀘어"/>
      <family val="3"/>
      <charset val="129"/>
    </font>
    <font>
      <b/>
      <sz val="15"/>
      <color theme="1"/>
      <name val="나눔스퀘어"/>
      <family val="3"/>
      <charset val="129"/>
    </font>
    <font>
      <b/>
      <sz val="17"/>
      <color theme="1"/>
      <name val="나눔스퀘어"/>
      <family val="3"/>
      <charset val="129"/>
    </font>
    <font>
      <b/>
      <sz val="13"/>
      <color rgb="FFFF0000"/>
      <name val="나눔스퀘어"/>
      <family val="3"/>
      <charset val="129"/>
    </font>
    <font>
      <b/>
      <sz val="15"/>
      <color rgb="FFFF0000"/>
      <name val="나눔스퀘어"/>
      <family val="3"/>
      <charset val="129"/>
    </font>
    <font>
      <b/>
      <sz val="10"/>
      <color theme="5"/>
      <name val="나눔스퀘어"/>
      <family val="3"/>
      <charset val="129"/>
    </font>
    <font>
      <b/>
      <sz val="11"/>
      <color theme="5"/>
      <name val="나눔스퀘어"/>
      <family val="3"/>
      <charset val="129"/>
    </font>
    <font>
      <sz val="17"/>
      <color theme="1"/>
      <name val="나눔스퀘어"/>
      <family val="3"/>
      <charset val="129"/>
    </font>
    <font>
      <sz val="17"/>
      <color rgb="FFFF0000"/>
      <name val="나눔스퀘어"/>
      <family val="3"/>
      <charset val="129"/>
    </font>
    <font>
      <sz val="15"/>
      <color theme="1"/>
      <name val="나눔스퀘어"/>
      <family val="3"/>
      <charset val="129"/>
    </font>
    <font>
      <b/>
      <sz val="15"/>
      <color theme="1"/>
      <name val="15"/>
    </font>
    <font>
      <b/>
      <sz val="15"/>
      <color theme="1"/>
      <name val="15"/>
      <family val="2"/>
    </font>
    <font>
      <b/>
      <sz val="12"/>
      <color theme="1"/>
      <name val="나눔스퀘어"/>
      <family val="3"/>
      <charset val="129"/>
    </font>
    <font>
      <sz val="9"/>
      <color theme="1"/>
      <name val="나눔스퀘어"/>
      <family val="3"/>
      <charset val="129"/>
    </font>
    <font>
      <sz val="12"/>
      <color theme="1"/>
      <name val="나눔스퀘어"/>
      <family val="3"/>
      <charset val="129"/>
    </font>
    <font>
      <b/>
      <sz val="15"/>
      <color theme="1"/>
      <name val="맑은 고딕"/>
      <family val="3"/>
      <charset val="129"/>
    </font>
    <font>
      <b/>
      <sz val="15"/>
      <color theme="1"/>
      <name val="Arial"/>
      <family val="2"/>
    </font>
    <font>
      <sz val="14"/>
      <color theme="1"/>
      <name val="나눔스퀘어"/>
      <family val="3"/>
      <charset val="129"/>
    </font>
    <font>
      <b/>
      <sz val="11"/>
      <color rgb="FFFFFFFF"/>
      <name val="맑은 고딕"/>
      <family val="2"/>
      <scheme val="minor"/>
    </font>
    <font>
      <b/>
      <sz val="16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0000FF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sz val="11"/>
      <color rgb="FF007030"/>
      <name val="맑은 고딕"/>
      <family val="2"/>
      <scheme val="minor"/>
    </font>
    <font>
      <b/>
      <sz val="11"/>
      <color rgb="FF007030"/>
      <name val="맑은 고딕"/>
      <family val="2"/>
      <scheme val="minor"/>
    </font>
    <font>
      <b/>
      <sz val="14"/>
      <color rgb="FFFFFF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1"/>
      <color rgb="FF70AD47"/>
      <name val="나눔스퀘어"/>
      <family val="3"/>
      <charset val="129"/>
    </font>
    <font>
      <b/>
      <sz val="16"/>
      <color rgb="FFFF0000"/>
      <name val="맑은 고딕"/>
      <family val="2"/>
      <scheme val="minor"/>
    </font>
    <font>
      <b/>
      <sz val="14"/>
      <color rgb="FFFF0000"/>
      <name val="맑은 고딕"/>
      <family val="2"/>
      <scheme val="minor"/>
    </font>
    <font>
      <b/>
      <sz val="11"/>
      <color rgb="FFC65911"/>
      <name val="맑은 고딕"/>
      <family val="2"/>
      <scheme val="minor"/>
    </font>
    <font>
      <b/>
      <sz val="12"/>
      <color rgb="FFFFFFFF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2CC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46">
    <xf numFmtId="0" fontId="0" fillId="0" borderId="0" xfId="0"/>
    <xf numFmtId="0" fontId="4" fillId="0" borderId="0" xfId="0" applyFont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3" fontId="3" fillId="0" borderId="5" xfId="0" applyNumberFormat="1" applyFont="1" applyBorder="1"/>
    <xf numFmtId="0" fontId="4" fillId="0" borderId="6" xfId="0" applyFont="1" applyBorder="1"/>
    <xf numFmtId="0" fontId="4" fillId="0" borderId="8" xfId="0" applyFont="1" applyBorder="1" applyAlignment="1">
      <alignment horizontal="center"/>
    </xf>
    <xf numFmtId="0" fontId="3" fillId="0" borderId="8" xfId="0" applyFont="1" applyBorder="1"/>
    <xf numFmtId="0" fontId="4" fillId="0" borderId="9" xfId="0" applyFont="1" applyBorder="1" applyAlignment="1">
      <alignment horizontal="left"/>
    </xf>
    <xf numFmtId="0" fontId="4" fillId="0" borderId="8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177" fontId="4" fillId="0" borderId="5" xfId="0" applyNumberFormat="1" applyFont="1" applyBorder="1" applyAlignment="1">
      <alignment horizontal="center" vertical="center"/>
    </xf>
    <xf numFmtId="0" fontId="4" fillId="0" borderId="5" xfId="0" applyFont="1" applyBorder="1"/>
    <xf numFmtId="177" fontId="4" fillId="0" borderId="8" xfId="0" applyNumberFormat="1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horizontal="left" vertical="center" wrapText="1"/>
    </xf>
    <xf numFmtId="10" fontId="7" fillId="0" borderId="5" xfId="0" applyNumberFormat="1" applyFont="1" applyBorder="1" applyAlignment="1">
      <alignment horizontal="center" vertical="center"/>
    </xf>
    <xf numFmtId="0" fontId="13" fillId="0" borderId="0" xfId="0" applyFont="1"/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41" fontId="4" fillId="0" borderId="5" xfId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41" fontId="4" fillId="0" borderId="6" xfId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3" fontId="4" fillId="3" borderId="5" xfId="0" applyNumberFormat="1" applyFont="1" applyFill="1" applyBorder="1"/>
    <xf numFmtId="3" fontId="4" fillId="3" borderId="5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vertical="center"/>
    </xf>
    <xf numFmtId="9" fontId="3" fillId="0" borderId="5" xfId="0" applyNumberFormat="1" applyFont="1" applyBorder="1" applyAlignment="1">
      <alignment vertical="center"/>
    </xf>
    <xf numFmtId="41" fontId="3" fillId="0" borderId="5" xfId="0" applyNumberFormat="1" applyFont="1" applyBorder="1" applyAlignment="1">
      <alignment vertical="center"/>
    </xf>
    <xf numFmtId="41" fontId="3" fillId="0" borderId="6" xfId="0" applyNumberFormat="1" applyFont="1" applyBorder="1" applyAlignment="1">
      <alignment vertical="center"/>
    </xf>
    <xf numFmtId="0" fontId="21" fillId="0" borderId="25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4" fillId="2" borderId="10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22" fillId="4" borderId="0" xfId="0" applyFont="1" applyFill="1"/>
    <xf numFmtId="14" fontId="0" fillId="0" borderId="0" xfId="0" applyNumberFormat="1"/>
    <xf numFmtId="178" fontId="8" fillId="0" borderId="5" xfId="0" applyNumberFormat="1" applyFont="1" applyBorder="1" applyAlignment="1">
      <alignment horizontal="center" vertical="center"/>
    </xf>
    <xf numFmtId="0" fontId="23" fillId="4" borderId="0" xfId="0" applyFont="1" applyFill="1"/>
    <xf numFmtId="0" fontId="0" fillId="4" borderId="0" xfId="0" applyFill="1"/>
    <xf numFmtId="0" fontId="24" fillId="5" borderId="0" xfId="0" applyFont="1" applyFill="1" applyAlignment="1">
      <alignment horizontal="center"/>
    </xf>
    <xf numFmtId="0" fontId="24" fillId="6" borderId="0" xfId="0" applyFont="1" applyFill="1"/>
    <xf numFmtId="0" fontId="24" fillId="3" borderId="0" xfId="0" applyFont="1" applyFill="1"/>
    <xf numFmtId="3" fontId="24" fillId="3" borderId="0" xfId="0" applyNumberFormat="1" applyFont="1" applyFill="1"/>
    <xf numFmtId="0" fontId="0" fillId="6" borderId="0" xfId="0" applyFill="1"/>
    <xf numFmtId="0" fontId="25" fillId="0" borderId="0" xfId="0" applyFont="1"/>
    <xf numFmtId="0" fontId="26" fillId="0" borderId="0" xfId="0" applyFont="1"/>
    <xf numFmtId="3" fontId="26" fillId="0" borderId="0" xfId="0" applyNumberFormat="1" applyFont="1"/>
    <xf numFmtId="9" fontId="24" fillId="3" borderId="0" xfId="0" applyNumberFormat="1" applyFont="1" applyFill="1"/>
    <xf numFmtId="3" fontId="0" fillId="3" borderId="0" xfId="0" applyNumberFormat="1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24" fillId="0" borderId="0" xfId="0" applyNumberFormat="1" applyFont="1"/>
    <xf numFmtId="176" fontId="0" fillId="0" borderId="0" xfId="0" applyNumberFormat="1"/>
    <xf numFmtId="179" fontId="0" fillId="0" borderId="0" xfId="0" applyNumberFormat="1"/>
    <xf numFmtId="3" fontId="24" fillId="7" borderId="0" xfId="0" applyNumberFormat="1" applyFont="1" applyFill="1" applyAlignment="1">
      <alignment horizontal="center"/>
    </xf>
    <xf numFmtId="3" fontId="0" fillId="7" borderId="0" xfId="0" applyNumberFormat="1" applyFill="1"/>
    <xf numFmtId="3" fontId="24" fillId="7" borderId="0" xfId="0" applyNumberFormat="1" applyFont="1" applyFill="1"/>
    <xf numFmtId="176" fontId="0" fillId="7" borderId="0" xfId="0" applyNumberFormat="1" applyFill="1"/>
    <xf numFmtId="179" fontId="0" fillId="7" borderId="0" xfId="0" applyNumberFormat="1" applyFill="1"/>
    <xf numFmtId="0" fontId="28" fillId="7" borderId="0" xfId="0" applyFont="1" applyFill="1"/>
    <xf numFmtId="0" fontId="29" fillId="8" borderId="0" xfId="0" applyFont="1" applyFill="1"/>
    <xf numFmtId="0" fontId="0" fillId="8" borderId="0" xfId="0" applyFill="1"/>
    <xf numFmtId="9" fontId="0" fillId="0" borderId="0" xfId="0" applyNumberFormat="1" applyAlignment="1">
      <alignment horizontal="center"/>
    </xf>
    <xf numFmtId="0" fontId="29" fillId="4" borderId="0" xfId="0" applyFont="1" applyFill="1"/>
    <xf numFmtId="179" fontId="24" fillId="0" borderId="0" xfId="0" applyNumberFormat="1" applyFont="1"/>
    <xf numFmtId="182" fontId="27" fillId="0" borderId="0" xfId="0" applyNumberFormat="1" applyFont="1"/>
    <xf numFmtId="9" fontId="24" fillId="7" borderId="0" xfId="0" applyNumberFormat="1" applyFont="1" applyFill="1" applyAlignment="1">
      <alignment horizontal="center"/>
    </xf>
    <xf numFmtId="179" fontId="24" fillId="7" borderId="0" xfId="0" applyNumberFormat="1" applyFont="1" applyFill="1"/>
    <xf numFmtId="182" fontId="30" fillId="0" borderId="0" xfId="0" applyNumberFormat="1" applyFont="1"/>
    <xf numFmtId="9" fontId="31" fillId="3" borderId="5" xfId="2" applyFont="1" applyFill="1" applyBorder="1" applyAlignment="1">
      <alignment vertical="center"/>
    </xf>
    <xf numFmtId="0" fontId="29" fillId="9" borderId="0" xfId="0" applyFont="1" applyFill="1"/>
    <xf numFmtId="0" fontId="0" fillId="9" borderId="0" xfId="0" applyFill="1"/>
    <xf numFmtId="0" fontId="25" fillId="6" borderId="0" xfId="0" applyFont="1" applyFill="1"/>
    <xf numFmtId="0" fontId="24" fillId="10" borderId="0" xfId="0" applyFont="1" applyFill="1"/>
    <xf numFmtId="178" fontId="32" fillId="0" borderId="0" xfId="0" applyNumberFormat="1" applyFont="1"/>
    <xf numFmtId="179" fontId="33" fillId="0" borderId="0" xfId="0" applyNumberFormat="1" applyFont="1"/>
    <xf numFmtId="0" fontId="34" fillId="0" borderId="0" xfId="0" applyFont="1" applyAlignment="1">
      <alignment wrapText="1"/>
    </xf>
    <xf numFmtId="0" fontId="35" fillId="4" borderId="0" xfId="0" applyFont="1" applyFill="1"/>
    <xf numFmtId="0" fontId="24" fillId="7" borderId="0" xfId="0" applyFont="1" applyFill="1" applyAlignment="1">
      <alignment horizontal="center"/>
    </xf>
    <xf numFmtId="0" fontId="35" fillId="8" borderId="0" xfId="0" applyFont="1" applyFill="1"/>
    <xf numFmtId="0" fontId="36" fillId="3" borderId="0" xfId="0" applyFont="1" applyFill="1" applyAlignment="1">
      <alignment horizontal="center" vertical="center" wrapText="1"/>
    </xf>
    <xf numFmtId="49" fontId="0" fillId="0" borderId="0" xfId="0" applyNumberFormat="1"/>
    <xf numFmtId="0" fontId="35" fillId="9" borderId="0" xfId="0" applyFont="1" applyFill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78" fontId="37" fillId="0" borderId="0" xfId="0" applyNumberFormat="1" applyFont="1"/>
    <xf numFmtId="179" fontId="0" fillId="0" borderId="0" xfId="0" applyNumberFormat="1" applyAlignment="1">
      <alignment horizontal="right"/>
    </xf>
    <xf numFmtId="9" fontId="37" fillId="0" borderId="0" xfId="0" applyNumberFormat="1" applyFont="1"/>
    <xf numFmtId="0" fontId="3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5" fillId="9" borderId="0" xfId="0" applyFont="1" applyFill="1" applyAlignment="1">
      <alignment horizontal="left"/>
    </xf>
    <xf numFmtId="1" fontId="0" fillId="0" borderId="0" xfId="0" applyNumberFormat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Assumptions!$C$52</c:f>
              <c:strCache>
                <c:ptCount val="1"/>
                <c:pt idx="0">
                  <c:v>절감비용(억원)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Assumptions!$B$53:$B$60</c:f>
              <c:strCache>
                <c:ptCount val="8"/>
                <c:pt idx="0">
                  <c:v>1,000건</c:v>
                </c:pt>
                <c:pt idx="1">
                  <c:v>3,000건</c:v>
                </c:pt>
                <c:pt idx="2">
                  <c:v>5,000건</c:v>
                </c:pt>
                <c:pt idx="3">
                  <c:v>10,000건</c:v>
                </c:pt>
                <c:pt idx="4">
                  <c:v>20,000건</c:v>
                </c:pt>
                <c:pt idx="5">
                  <c:v>50,000건</c:v>
                </c:pt>
                <c:pt idx="6">
                  <c:v>100,000건</c:v>
                </c:pt>
                <c:pt idx="7">
                  <c:v>200,000건</c:v>
                </c:pt>
              </c:strCache>
            </c:strRef>
          </c:cat>
          <c:val>
            <c:numRef>
              <c:f>Assumptions!$C$53:$C$60</c:f>
              <c:numCache>
                <c:formatCode>0.0</c:formatCode>
                <c:ptCount val="8"/>
                <c:pt idx="0">
                  <c:v>0.67615000000000003</c:v>
                </c:pt>
                <c:pt idx="1">
                  <c:v>2.0284499999999999</c:v>
                </c:pt>
                <c:pt idx="2">
                  <c:v>3.3807499999999999</c:v>
                </c:pt>
                <c:pt idx="3">
                  <c:v>6.7614999999999998</c:v>
                </c:pt>
                <c:pt idx="4">
                  <c:v>13.523</c:v>
                </c:pt>
                <c:pt idx="5">
                  <c:v>33.807499999999997</c:v>
                </c:pt>
                <c:pt idx="6">
                  <c:v>67.614999999999995</c:v>
                </c:pt>
                <c:pt idx="7">
                  <c:v>135.22999999999999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0-44B3-8C5A-51D59A500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112976"/>
        <c:axId val="203115376"/>
        <c:axId val="0"/>
      </c:bar3DChart>
      <c:catAx>
        <c:axId val="20311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115376"/>
        <c:crosses val="autoZero"/>
        <c:auto val="1"/>
        <c:lblAlgn val="ctr"/>
        <c:lblOffset val="100"/>
        <c:noMultiLvlLbl val="0"/>
      </c:catAx>
      <c:valAx>
        <c:axId val="2031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11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Assumptions!$F$52</c:f>
              <c:strCache>
                <c:ptCount val="1"/>
                <c:pt idx="0">
                  <c:v>절감(연)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Assumptions!$E$53:$E$60</c:f>
              <c:strCache>
                <c:ptCount val="8"/>
                <c:pt idx="0">
                  <c:v>1,000건</c:v>
                </c:pt>
                <c:pt idx="1">
                  <c:v>3,000건</c:v>
                </c:pt>
                <c:pt idx="2">
                  <c:v>5,000건</c:v>
                </c:pt>
                <c:pt idx="3">
                  <c:v>10,000건</c:v>
                </c:pt>
                <c:pt idx="4">
                  <c:v>20,000건</c:v>
                </c:pt>
                <c:pt idx="5">
                  <c:v>50,000건</c:v>
                </c:pt>
                <c:pt idx="6">
                  <c:v>100,000건</c:v>
                </c:pt>
                <c:pt idx="7">
                  <c:v>200,000건</c:v>
                </c:pt>
              </c:strCache>
            </c:strRef>
          </c:cat>
          <c:val>
            <c:numRef>
              <c:f>Assumptions!$F$53:$F$60</c:f>
              <c:numCache>
                <c:formatCode>0.0</c:formatCode>
                <c:ptCount val="8"/>
                <c:pt idx="0">
                  <c:v>2.3249999999999997</c:v>
                </c:pt>
                <c:pt idx="1">
                  <c:v>6.9749999999999988</c:v>
                </c:pt>
                <c:pt idx="2">
                  <c:v>11.624999999999998</c:v>
                </c:pt>
                <c:pt idx="3">
                  <c:v>23.249999999999996</c:v>
                </c:pt>
                <c:pt idx="4">
                  <c:v>46.499999999999993</c:v>
                </c:pt>
                <c:pt idx="5">
                  <c:v>116.24999999999999</c:v>
                </c:pt>
                <c:pt idx="6">
                  <c:v>232.49999999999997</c:v>
                </c:pt>
                <c:pt idx="7">
                  <c:v>464.99999999999994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2-45D5-8FEF-7483DB0A5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124976"/>
        <c:axId val="203125456"/>
        <c:axId val="0"/>
      </c:bar3DChart>
      <c:catAx>
        <c:axId val="203124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125456"/>
        <c:crosses val="autoZero"/>
        <c:auto val="1"/>
        <c:lblAlgn val="ctr"/>
        <c:lblOffset val="100"/>
        <c:noMultiLvlLbl val="0"/>
      </c:catAx>
      <c:valAx>
        <c:axId val="20312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12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Assumptions!$C$52</c:f>
              <c:strCache>
                <c:ptCount val="1"/>
                <c:pt idx="0">
                  <c:v>절감비용(억원)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Assumptions!$B$53:$B$60</c:f>
              <c:strCache>
                <c:ptCount val="8"/>
                <c:pt idx="0">
                  <c:v>1,000건</c:v>
                </c:pt>
                <c:pt idx="1">
                  <c:v>3,000건</c:v>
                </c:pt>
                <c:pt idx="2">
                  <c:v>5,000건</c:v>
                </c:pt>
                <c:pt idx="3">
                  <c:v>10,000건</c:v>
                </c:pt>
                <c:pt idx="4">
                  <c:v>20,000건</c:v>
                </c:pt>
                <c:pt idx="5">
                  <c:v>50,000건</c:v>
                </c:pt>
                <c:pt idx="6">
                  <c:v>100,000건</c:v>
                </c:pt>
                <c:pt idx="7">
                  <c:v>200,000건</c:v>
                </c:pt>
              </c:strCache>
            </c:strRef>
          </c:cat>
          <c:val>
            <c:numRef>
              <c:f>Assumptions!$C$53:$C$60</c:f>
              <c:numCache>
                <c:formatCode>0.0</c:formatCode>
                <c:ptCount val="8"/>
                <c:pt idx="0">
                  <c:v>0.67615000000000003</c:v>
                </c:pt>
                <c:pt idx="1">
                  <c:v>2.0284499999999999</c:v>
                </c:pt>
                <c:pt idx="2">
                  <c:v>3.3807499999999999</c:v>
                </c:pt>
                <c:pt idx="3">
                  <c:v>6.7614999999999998</c:v>
                </c:pt>
                <c:pt idx="4">
                  <c:v>13.523</c:v>
                </c:pt>
                <c:pt idx="5">
                  <c:v>33.807499999999997</c:v>
                </c:pt>
                <c:pt idx="6">
                  <c:v>67.614999999999995</c:v>
                </c:pt>
                <c:pt idx="7">
                  <c:v>135.22999999999999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6-45A0-B0A0-0D5A9D4B1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7256384"/>
        <c:axId val="1707253984"/>
        <c:axId val="0"/>
      </c:bar3DChart>
      <c:catAx>
        <c:axId val="170725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7253984"/>
        <c:crosses val="autoZero"/>
        <c:auto val="1"/>
        <c:lblAlgn val="ctr"/>
        <c:lblOffset val="100"/>
        <c:noMultiLvlLbl val="0"/>
      </c:catAx>
      <c:valAx>
        <c:axId val="170725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725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687387</xdr:colOff>
      <xdr:row>71</xdr:row>
      <xdr:rowOff>195488</xdr:rowOff>
    </xdr:from>
    <xdr:to>
      <xdr:col>23</xdr:col>
      <xdr:colOff>99786</xdr:colOff>
      <xdr:row>108</xdr:row>
      <xdr:rowOff>33564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A41F6A4-DA24-CEB8-C079-4333DE06D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70983</xdr:colOff>
      <xdr:row>72</xdr:row>
      <xdr:rowOff>125639</xdr:rowOff>
    </xdr:from>
    <xdr:to>
      <xdr:col>47</xdr:col>
      <xdr:colOff>642257</xdr:colOff>
      <xdr:row>108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B4572BF-4782-CE47-B2E5-5B1D26F0C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310597</xdr:colOff>
      <xdr:row>51</xdr:row>
      <xdr:rowOff>185530</xdr:rowOff>
    </xdr:from>
    <xdr:to>
      <xdr:col>6</xdr:col>
      <xdr:colOff>923510</xdr:colOff>
      <xdr:row>64</xdr:row>
      <xdr:rowOff>129209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224D6BA-A360-5B6A-C740-A848CA7B9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7C23B5-A98C-42B4-B362-38C0460A2C92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topLeftCell="A16" zoomScale="85" zoomScaleNormal="85" workbookViewId="0">
      <selection activeCell="I32" sqref="I32:O38"/>
    </sheetView>
  </sheetViews>
  <sheetFormatPr defaultColWidth="8.83203125" defaultRowHeight="15.5"/>
  <cols>
    <col min="1" max="1" width="3.4140625" style="1" customWidth="1"/>
    <col min="2" max="2" width="24.1640625" style="28" customWidth="1"/>
    <col min="3" max="3" width="13.58203125" style="1" bestFit="1" customWidth="1"/>
    <col min="4" max="4" width="8.83203125" style="1"/>
    <col min="5" max="5" width="12" style="1" customWidth="1"/>
    <col min="6" max="6" width="10.08203125" style="1" customWidth="1"/>
    <col min="7" max="7" width="34" style="1" customWidth="1"/>
    <col min="8" max="8" width="8.83203125" style="1"/>
    <col min="9" max="9" width="8.83203125" style="29"/>
    <col min="10" max="10" width="14.83203125" style="1" customWidth="1"/>
    <col min="11" max="11" width="12.9140625" style="1" customWidth="1"/>
    <col min="12" max="12" width="20" style="1" customWidth="1"/>
    <col min="13" max="13" width="20.83203125" style="1" customWidth="1"/>
    <col min="14" max="14" width="16.9140625" style="1" customWidth="1"/>
    <col min="15" max="15" width="28.9140625" style="1" customWidth="1"/>
    <col min="16" max="16384" width="8.83203125" style="1"/>
  </cols>
  <sheetData>
    <row r="2" spans="2:15" ht="16" thickBot="1"/>
    <row r="3" spans="2:15" ht="20" thickTop="1">
      <c r="B3" s="82" t="s">
        <v>0</v>
      </c>
      <c r="C3" s="83"/>
      <c r="D3" s="83"/>
      <c r="E3" s="83"/>
      <c r="F3" s="83"/>
      <c r="G3" s="84"/>
      <c r="I3" s="82" t="s">
        <v>21</v>
      </c>
      <c r="J3" s="83"/>
      <c r="K3" s="83"/>
      <c r="L3" s="83"/>
      <c r="M3" s="83"/>
      <c r="N3" s="83"/>
      <c r="O3" s="84"/>
    </row>
    <row r="4" spans="2:15" ht="22.75" customHeight="1">
      <c r="B4" s="22" t="s">
        <v>3</v>
      </c>
      <c r="C4" s="23" t="s">
        <v>1</v>
      </c>
      <c r="D4" s="23" t="s">
        <v>4</v>
      </c>
      <c r="E4" s="60" t="s">
        <v>36</v>
      </c>
      <c r="F4" s="61"/>
      <c r="G4" s="24" t="s">
        <v>6</v>
      </c>
      <c r="H4" s="28"/>
      <c r="I4" s="22" t="s">
        <v>3</v>
      </c>
      <c r="J4" s="23" t="s">
        <v>12</v>
      </c>
      <c r="K4" s="23" t="s">
        <v>17</v>
      </c>
      <c r="L4" s="23" t="s">
        <v>16</v>
      </c>
      <c r="M4" s="23" t="s">
        <v>14</v>
      </c>
      <c r="N4" s="23" t="s">
        <v>20</v>
      </c>
      <c r="O4" s="24" t="s">
        <v>6</v>
      </c>
    </row>
    <row r="5" spans="2:15" ht="17">
      <c r="B5" s="30" t="s">
        <v>2</v>
      </c>
      <c r="C5" s="34">
        <f>Assumptions!D6</f>
        <v>20000</v>
      </c>
      <c r="D5" s="2">
        <v>8.6400000000000001E-3</v>
      </c>
      <c r="E5" s="62">
        <f>C5*D5</f>
        <v>172.8</v>
      </c>
      <c r="F5" s="63"/>
      <c r="G5" s="3" t="s">
        <v>10</v>
      </c>
      <c r="I5" s="30" t="s">
        <v>30</v>
      </c>
      <c r="J5" s="33">
        <f>Assumptions!D9</f>
        <v>50000</v>
      </c>
      <c r="K5" s="33">
        <f>Assumptions!D10</f>
        <v>50000</v>
      </c>
      <c r="L5" s="33">
        <f>Assumptions!D11</f>
        <v>20000</v>
      </c>
      <c r="M5" s="4">
        <f>J5+K5+L5</f>
        <v>120000</v>
      </c>
      <c r="N5" s="89">
        <f>(M5-M6)/M5</f>
        <v>0.99333333333333329</v>
      </c>
      <c r="O5" s="5" t="s">
        <v>15</v>
      </c>
    </row>
    <row r="6" spans="2:15" ht="17.5" thickBot="1">
      <c r="B6" s="30" t="s">
        <v>5</v>
      </c>
      <c r="C6" s="34">
        <f>Assumptions!D6</f>
        <v>20000</v>
      </c>
      <c r="D6" s="2">
        <v>3.6000000000000002E-4</v>
      </c>
      <c r="E6" s="62">
        <f t="shared" ref="E6:E7" si="0">C6*D6</f>
        <v>7.2</v>
      </c>
      <c r="F6" s="63"/>
      <c r="G6" s="3" t="s">
        <v>9</v>
      </c>
      <c r="I6" s="31" t="s">
        <v>29</v>
      </c>
      <c r="J6" s="6" t="s">
        <v>18</v>
      </c>
      <c r="K6" s="6" t="s">
        <v>18</v>
      </c>
      <c r="L6" s="6" t="s">
        <v>18</v>
      </c>
      <c r="M6" s="7">
        <f>Assumptions!D17</f>
        <v>800</v>
      </c>
      <c r="N6" s="86"/>
      <c r="O6" s="8" t="s">
        <v>19</v>
      </c>
    </row>
    <row r="7" spans="2:15" ht="18.649999999999999" customHeight="1" thickTop="1">
      <c r="B7" s="30" t="s">
        <v>7</v>
      </c>
      <c r="C7" s="34">
        <f>Assumptions!D6</f>
        <v>20000</v>
      </c>
      <c r="D7" s="2">
        <v>10</v>
      </c>
      <c r="E7" s="62">
        <f t="shared" si="0"/>
        <v>200000</v>
      </c>
      <c r="F7" s="63"/>
      <c r="G7" s="3" t="s">
        <v>8</v>
      </c>
    </row>
    <row r="8" spans="2:15" ht="16" thickBot="1">
      <c r="B8" s="64" t="s">
        <v>37</v>
      </c>
      <c r="C8" s="65"/>
      <c r="D8" s="65"/>
      <c r="E8" s="65"/>
      <c r="F8" s="65"/>
      <c r="G8" s="66"/>
    </row>
    <row r="9" spans="2:15" ht="20.5" thickTop="1" thickBot="1">
      <c r="B9" s="67"/>
      <c r="C9" s="68"/>
      <c r="D9" s="68"/>
      <c r="E9" s="68"/>
      <c r="F9" s="68"/>
      <c r="G9" s="69"/>
      <c r="I9" s="79" t="s">
        <v>24</v>
      </c>
      <c r="J9" s="80"/>
      <c r="K9" s="80"/>
      <c r="L9" s="80"/>
      <c r="M9" s="80"/>
      <c r="N9" s="80"/>
      <c r="O9" s="81"/>
    </row>
    <row r="10" spans="2:15" ht="16" thickTop="1">
      <c r="I10" s="22" t="s">
        <v>3</v>
      </c>
      <c r="J10" s="23" t="s">
        <v>12</v>
      </c>
      <c r="K10" s="23" t="s">
        <v>22</v>
      </c>
      <c r="L10" s="23" t="s">
        <v>23</v>
      </c>
      <c r="M10" s="23" t="s">
        <v>14</v>
      </c>
      <c r="N10" s="23" t="s">
        <v>20</v>
      </c>
      <c r="O10" s="24" t="s">
        <v>6</v>
      </c>
    </row>
    <row r="11" spans="2:15" ht="57" customHeight="1">
      <c r="I11" s="30" t="s">
        <v>28</v>
      </c>
      <c r="J11" s="35">
        <f>Assumptions!D13</f>
        <v>3000</v>
      </c>
      <c r="K11" s="35">
        <f>Assumptions!D14</f>
        <v>3800</v>
      </c>
      <c r="L11" s="35">
        <f>Assumptions!D15</f>
        <v>10030</v>
      </c>
      <c r="M11" s="10">
        <f>J11+K11+L11</f>
        <v>16830</v>
      </c>
      <c r="N11" s="89">
        <f>(M11-M12)/M11</f>
        <v>0.952465834818776</v>
      </c>
      <c r="O11" s="11" t="s">
        <v>42</v>
      </c>
    </row>
    <row r="12" spans="2:15">
      <c r="I12" s="30" t="s">
        <v>29</v>
      </c>
      <c r="J12" s="2" t="s">
        <v>18</v>
      </c>
      <c r="K12" s="2" t="s">
        <v>18</v>
      </c>
      <c r="L12" s="2" t="s">
        <v>18</v>
      </c>
      <c r="M12" s="12">
        <f>Assumptions!D17</f>
        <v>800</v>
      </c>
      <c r="N12" s="85"/>
      <c r="O12" s="13" t="s">
        <v>19</v>
      </c>
    </row>
    <row r="13" spans="2:15" ht="27.65" customHeight="1" thickBot="1">
      <c r="I13" s="76" t="s">
        <v>25</v>
      </c>
      <c r="J13" s="77"/>
      <c r="K13" s="77"/>
      <c r="L13" s="77"/>
      <c r="M13" s="77"/>
      <c r="N13" s="77"/>
      <c r="O13" s="78"/>
    </row>
    <row r="14" spans="2:15" ht="16" thickTop="1"/>
    <row r="15" spans="2:15" ht="16" thickBot="1"/>
    <row r="16" spans="2:15" ht="18" customHeight="1" thickTop="1">
      <c r="B16" s="48" t="s">
        <v>50</v>
      </c>
      <c r="C16" s="49"/>
      <c r="D16" s="49"/>
      <c r="E16" s="49"/>
      <c r="F16" s="49"/>
      <c r="G16" s="50"/>
      <c r="I16" s="79" t="s">
        <v>44</v>
      </c>
      <c r="J16" s="80"/>
      <c r="K16" s="80"/>
      <c r="L16" s="80"/>
      <c r="M16" s="80"/>
      <c r="N16" s="80"/>
      <c r="O16" s="81"/>
    </row>
    <row r="17" spans="2:15" ht="21.65" customHeight="1">
      <c r="B17" s="51"/>
      <c r="C17" s="52"/>
      <c r="D17" s="52"/>
      <c r="E17" s="52"/>
      <c r="F17" s="52"/>
      <c r="G17" s="53"/>
      <c r="I17" s="22" t="s">
        <v>3</v>
      </c>
      <c r="J17" s="23" t="s">
        <v>31</v>
      </c>
      <c r="K17" s="23" t="s">
        <v>32</v>
      </c>
      <c r="L17" s="23" t="s">
        <v>34</v>
      </c>
      <c r="M17" s="23" t="s">
        <v>35</v>
      </c>
      <c r="N17" s="23" t="s">
        <v>11</v>
      </c>
      <c r="O17" s="24" t="s">
        <v>6</v>
      </c>
    </row>
    <row r="18" spans="2:15" ht="14.4" customHeight="1">
      <c r="B18" s="51"/>
      <c r="C18" s="52"/>
      <c r="D18" s="52"/>
      <c r="E18" s="52"/>
      <c r="F18" s="52"/>
      <c r="G18" s="53"/>
      <c r="I18" s="32" t="s">
        <v>26</v>
      </c>
      <c r="J18" s="2">
        <v>1</v>
      </c>
      <c r="K18" s="14">
        <f>10/(8*60)</f>
        <v>2.0833333333333332E-2</v>
      </c>
      <c r="L18" s="14">
        <f>J18+K18</f>
        <v>1.0208333333333333</v>
      </c>
      <c r="M18" s="20">
        <f>(L18-$L$20)/L18</f>
        <v>0.99795918367346925</v>
      </c>
      <c r="N18" s="15"/>
      <c r="O18" s="3"/>
    </row>
    <row r="19" spans="2:15" ht="15" customHeight="1">
      <c r="B19" s="51"/>
      <c r="C19" s="52"/>
      <c r="D19" s="52"/>
      <c r="E19" s="52"/>
      <c r="F19" s="52"/>
      <c r="G19" s="53"/>
      <c r="I19" s="32" t="s">
        <v>27</v>
      </c>
      <c r="J19" s="2">
        <f>1/8</f>
        <v>0.125</v>
      </c>
      <c r="K19" s="14">
        <f>10/(8*60)</f>
        <v>2.0833333333333332E-2</v>
      </c>
      <c r="L19" s="14">
        <f>J19+K19</f>
        <v>0.14583333333333334</v>
      </c>
      <c r="M19" s="20">
        <f>(L19-$L$20)/L19</f>
        <v>0.98571428571428577</v>
      </c>
      <c r="N19" s="15"/>
      <c r="O19" s="3"/>
    </row>
    <row r="20" spans="2:15" ht="38.4" customHeight="1" thickBot="1">
      <c r="B20" s="51"/>
      <c r="C20" s="52"/>
      <c r="D20" s="52"/>
      <c r="E20" s="52"/>
      <c r="F20" s="52"/>
      <c r="G20" s="53"/>
      <c r="I20" s="31" t="s">
        <v>13</v>
      </c>
      <c r="J20" s="16">
        <f>1/(8*60)</f>
        <v>2.0833333333333333E-3</v>
      </c>
      <c r="K20" s="9" t="s">
        <v>18</v>
      </c>
      <c r="L20" s="16">
        <f>J20</f>
        <v>2.0833333333333333E-3</v>
      </c>
      <c r="M20" s="17" t="s">
        <v>11</v>
      </c>
      <c r="N20" s="18"/>
      <c r="O20" s="19" t="s">
        <v>33</v>
      </c>
    </row>
    <row r="21" spans="2:15" ht="18" customHeight="1" thickTop="1">
      <c r="B21" s="51"/>
      <c r="C21" s="52"/>
      <c r="D21" s="52"/>
      <c r="E21" s="52"/>
      <c r="F21" s="52"/>
      <c r="G21" s="53"/>
    </row>
    <row r="22" spans="2:15" ht="17.399999999999999" customHeight="1">
      <c r="B22" s="51"/>
      <c r="C22" s="52"/>
      <c r="D22" s="52"/>
      <c r="E22" s="52"/>
      <c r="F22" s="52"/>
      <c r="G22" s="53"/>
    </row>
    <row r="23" spans="2:15" ht="18" customHeight="1" thickBot="1">
      <c r="B23" s="54"/>
      <c r="C23" s="55"/>
      <c r="D23" s="55"/>
      <c r="E23" s="55"/>
      <c r="F23" s="55"/>
      <c r="G23" s="56"/>
    </row>
    <row r="24" spans="2:15" s="21" customFormat="1" ht="28.75" customHeight="1" thickTop="1">
      <c r="B24" s="28"/>
      <c r="I24" s="73" t="s">
        <v>46</v>
      </c>
      <c r="J24" s="74"/>
      <c r="K24" s="74"/>
      <c r="L24" s="74"/>
      <c r="M24" s="74"/>
      <c r="N24" s="74"/>
      <c r="O24" s="75"/>
    </row>
    <row r="25" spans="2:15" ht="22.75" customHeight="1">
      <c r="I25" s="22" t="s">
        <v>3</v>
      </c>
      <c r="J25" s="23" t="s">
        <v>38</v>
      </c>
      <c r="K25" s="23" t="s">
        <v>39</v>
      </c>
      <c r="L25" s="23" t="s">
        <v>41</v>
      </c>
      <c r="M25" s="23" t="s">
        <v>48</v>
      </c>
      <c r="N25" s="23" t="s">
        <v>45</v>
      </c>
      <c r="O25" s="24" t="s">
        <v>47</v>
      </c>
    </row>
    <row r="26" spans="2:15" ht="27" customHeight="1">
      <c r="I26" s="30" t="s">
        <v>26</v>
      </c>
      <c r="J26" s="123">
        <f>Assumptions!D7</f>
        <v>0.5</v>
      </c>
      <c r="K26" s="25">
        <f>(M5-M6)*J26</f>
        <v>59600</v>
      </c>
      <c r="L26" s="26">
        <f>(L18-L20)*J26</f>
        <v>0.50937499999999991</v>
      </c>
      <c r="M26" s="25">
        <f>10000*J26</f>
        <v>5000</v>
      </c>
      <c r="N26" s="25">
        <f>K26*M26</f>
        <v>298000000</v>
      </c>
      <c r="O26" s="27">
        <f>L26*M26</f>
        <v>2546.8749999999995</v>
      </c>
    </row>
    <row r="27" spans="2:15" ht="27" customHeight="1">
      <c r="I27" s="30" t="s">
        <v>27</v>
      </c>
      <c r="J27" s="123">
        <f>Assumptions!D8</f>
        <v>0.5</v>
      </c>
      <c r="K27" s="25">
        <f>(M11-M12)*J27</f>
        <v>8015</v>
      </c>
      <c r="L27" s="26">
        <f>(L19-L20)*J27</f>
        <v>7.1875000000000008E-2</v>
      </c>
      <c r="M27" s="25">
        <f>10000*J27</f>
        <v>5000</v>
      </c>
      <c r="N27" s="25">
        <f>K27*M27</f>
        <v>40075000</v>
      </c>
      <c r="O27" s="27">
        <f>L27*M27</f>
        <v>359.37500000000006</v>
      </c>
    </row>
    <row r="28" spans="2:15" ht="27" customHeight="1">
      <c r="I28" s="30" t="s">
        <v>40</v>
      </c>
      <c r="J28" s="36">
        <f>J26+J27</f>
        <v>1</v>
      </c>
      <c r="K28" s="37">
        <f>K26+K27</f>
        <v>67615</v>
      </c>
      <c r="L28" s="12">
        <f>L26+L27</f>
        <v>0.58124999999999993</v>
      </c>
      <c r="M28" s="37">
        <v>10000</v>
      </c>
      <c r="N28" s="37">
        <f>N26+N27</f>
        <v>338075000</v>
      </c>
      <c r="O28" s="38">
        <f>O26+O27</f>
        <v>2906.2499999999995</v>
      </c>
    </row>
    <row r="29" spans="2:15" ht="24.65" customHeight="1" thickBot="1">
      <c r="I29" s="57" t="s">
        <v>49</v>
      </c>
      <c r="J29" s="58"/>
      <c r="K29" s="58"/>
      <c r="L29" s="58"/>
      <c r="M29" s="58"/>
      <c r="N29" s="58"/>
      <c r="O29" s="59"/>
    </row>
    <row r="30" spans="2:15" ht="16.5" thickTop="1" thickBot="1"/>
    <row r="31" spans="2:15" ht="20" thickTop="1">
      <c r="I31" s="70" t="s">
        <v>43</v>
      </c>
      <c r="J31" s="71"/>
      <c r="K31" s="71"/>
      <c r="L31" s="71"/>
      <c r="M31" s="71"/>
      <c r="N31" s="71"/>
      <c r="O31" s="72"/>
    </row>
    <row r="32" spans="2:15" ht="21" customHeight="1">
      <c r="I32" s="39" t="s">
        <v>61</v>
      </c>
      <c r="J32" s="40"/>
      <c r="K32" s="40"/>
      <c r="L32" s="40"/>
      <c r="M32" s="40"/>
      <c r="N32" s="40"/>
      <c r="O32" s="41"/>
    </row>
    <row r="33" spans="9:15" ht="21" customHeight="1">
      <c r="I33" s="42"/>
      <c r="J33" s="43"/>
      <c r="K33" s="43"/>
      <c r="L33" s="43"/>
      <c r="M33" s="43"/>
      <c r="N33" s="43"/>
      <c r="O33" s="44"/>
    </row>
    <row r="34" spans="9:15" ht="21" customHeight="1">
      <c r="I34" s="42"/>
      <c r="J34" s="43"/>
      <c r="K34" s="43"/>
      <c r="L34" s="43"/>
      <c r="M34" s="43"/>
      <c r="N34" s="43"/>
      <c r="O34" s="44"/>
    </row>
    <row r="35" spans="9:15" ht="21" customHeight="1">
      <c r="I35" s="42"/>
      <c r="J35" s="43"/>
      <c r="K35" s="43"/>
      <c r="L35" s="43"/>
      <c r="M35" s="43"/>
      <c r="N35" s="43"/>
      <c r="O35" s="44"/>
    </row>
    <row r="36" spans="9:15" ht="21" customHeight="1">
      <c r="I36" s="42"/>
      <c r="J36" s="43"/>
      <c r="K36" s="43"/>
      <c r="L36" s="43"/>
      <c r="M36" s="43"/>
      <c r="N36" s="43"/>
      <c r="O36" s="44"/>
    </row>
    <row r="37" spans="9:15" ht="21" customHeight="1">
      <c r="I37" s="42"/>
      <c r="J37" s="43"/>
      <c r="K37" s="43"/>
      <c r="L37" s="43"/>
      <c r="M37" s="43"/>
      <c r="N37" s="43"/>
      <c r="O37" s="44"/>
    </row>
    <row r="38" spans="9:15" ht="21" customHeight="1" thickBot="1">
      <c r="I38" s="45"/>
      <c r="J38" s="46"/>
      <c r="K38" s="46"/>
      <c r="L38" s="46"/>
      <c r="M38" s="46"/>
      <c r="N38" s="46"/>
      <c r="O38" s="47"/>
    </row>
    <row r="39" spans="9:15" ht="16" thickTop="1"/>
  </sheetData>
  <mergeCells count="17">
    <mergeCell ref="B3:G3"/>
    <mergeCell ref="I3:O3"/>
    <mergeCell ref="N5:N6"/>
    <mergeCell ref="I9:O9"/>
    <mergeCell ref="N11:N12"/>
    <mergeCell ref="I32:O38"/>
    <mergeCell ref="B16:G23"/>
    <mergeCell ref="I29:O29"/>
    <mergeCell ref="E4:F4"/>
    <mergeCell ref="E5:F5"/>
    <mergeCell ref="E6:F6"/>
    <mergeCell ref="E7:F7"/>
    <mergeCell ref="B8:G9"/>
    <mergeCell ref="I31:O31"/>
    <mergeCell ref="I24:O24"/>
    <mergeCell ref="I13:O13"/>
    <mergeCell ref="I16:O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C3E2-DA15-406D-A4BD-AAF9B90BD440}">
  <dimension ref="A1:F6"/>
  <sheetViews>
    <sheetView workbookViewId="0">
      <selection activeCell="S36" sqref="S36"/>
    </sheetView>
  </sheetViews>
  <sheetFormatPr defaultRowHeight="17"/>
  <cols>
    <col min="1" max="1" width="7.58203125" bestFit="1" customWidth="1"/>
    <col min="2" max="2" width="11.75" bestFit="1" customWidth="1"/>
    <col min="3" max="3" width="12.58203125" bestFit="1" customWidth="1"/>
    <col min="4" max="4" width="30.33203125" bestFit="1" customWidth="1"/>
    <col min="5" max="5" width="40" bestFit="1" customWidth="1"/>
    <col min="6" max="6" width="14.08203125" bestFit="1" customWidth="1"/>
  </cols>
  <sheetData>
    <row r="1" spans="1:6">
      <c r="A1" s="87" t="s">
        <v>51</v>
      </c>
      <c r="B1" s="87" t="s">
        <v>52</v>
      </c>
      <c r="C1" s="87" t="s">
        <v>53</v>
      </c>
      <c r="D1" s="87" t="s">
        <v>54</v>
      </c>
      <c r="E1" s="87" t="s">
        <v>55</v>
      </c>
      <c r="F1" s="87" t="s">
        <v>56</v>
      </c>
    </row>
    <row r="2" spans="1:6">
      <c r="A2">
        <v>1</v>
      </c>
      <c r="B2" s="88">
        <v>46048</v>
      </c>
      <c r="C2" t="s">
        <v>57</v>
      </c>
      <c r="D2" t="s">
        <v>58</v>
      </c>
      <c r="E2" t="s">
        <v>59</v>
      </c>
      <c r="F2" t="s">
        <v>60</v>
      </c>
    </row>
    <row r="3" spans="1:6">
      <c r="A3">
        <v>2</v>
      </c>
      <c r="B3" s="88">
        <v>46048</v>
      </c>
      <c r="C3" t="s">
        <v>106</v>
      </c>
      <c r="D3" t="s">
        <v>107</v>
      </c>
      <c r="E3" t="s">
        <v>108</v>
      </c>
      <c r="F3" t="s">
        <v>109</v>
      </c>
    </row>
    <row r="4" spans="1:6">
      <c r="A4">
        <v>3</v>
      </c>
      <c r="B4" s="88">
        <v>46048</v>
      </c>
      <c r="C4" t="s">
        <v>106</v>
      </c>
      <c r="D4" t="s">
        <v>122</v>
      </c>
      <c r="E4" t="s">
        <v>123</v>
      </c>
      <c r="F4" t="s">
        <v>124</v>
      </c>
    </row>
    <row r="5" spans="1:6">
      <c r="A5">
        <v>4</v>
      </c>
      <c r="B5" s="88">
        <v>46048</v>
      </c>
      <c r="C5" t="s">
        <v>125</v>
      </c>
      <c r="D5" t="s">
        <v>126</v>
      </c>
      <c r="E5" t="s">
        <v>127</v>
      </c>
      <c r="F5" t="s">
        <v>128</v>
      </c>
    </row>
    <row r="6" spans="1:6">
      <c r="A6">
        <v>5</v>
      </c>
      <c r="B6" s="88">
        <v>46048</v>
      </c>
      <c r="C6" t="s">
        <v>141</v>
      </c>
      <c r="D6" t="s">
        <v>142</v>
      </c>
      <c r="E6" t="s">
        <v>143</v>
      </c>
      <c r="F6" t="s">
        <v>144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E470-05A2-4FD1-AF10-181B9CB657C2}">
  <dimension ref="B2:L74"/>
  <sheetViews>
    <sheetView tabSelected="1" topLeftCell="A44" zoomScale="115" zoomScaleNormal="115" workbookViewId="0">
      <selection activeCell="E70" sqref="E70:F74"/>
    </sheetView>
  </sheetViews>
  <sheetFormatPr defaultRowHeight="17"/>
  <cols>
    <col min="2" max="4" width="18.33203125" customWidth="1"/>
    <col min="5" max="5" width="33.58203125" bestFit="1" customWidth="1"/>
    <col min="6" max="8" width="18.33203125" customWidth="1"/>
    <col min="9" max="9" width="22.58203125" bestFit="1" customWidth="1"/>
    <col min="10" max="10" width="12.58203125" customWidth="1"/>
    <col min="11" max="11" width="12.58203125" bestFit="1" customWidth="1"/>
    <col min="12" max="12" width="33.58203125" bestFit="1" customWidth="1"/>
    <col min="13" max="13" width="8.58203125" customWidth="1"/>
  </cols>
  <sheetData>
    <row r="2" spans="2:5" ht="25.5">
      <c r="B2" s="90" t="s">
        <v>62</v>
      </c>
      <c r="C2" s="91"/>
      <c r="D2" s="91"/>
      <c r="E2" s="91"/>
    </row>
    <row r="3" spans="2:5">
      <c r="B3" s="92" t="s">
        <v>63</v>
      </c>
      <c r="C3" s="92" t="s">
        <v>64</v>
      </c>
      <c r="D3" s="92" t="s">
        <v>65</v>
      </c>
      <c r="E3" s="92" t="s">
        <v>66</v>
      </c>
    </row>
    <row r="4" spans="2:5">
      <c r="B4" s="93" t="s">
        <v>67</v>
      </c>
      <c r="C4" t="s">
        <v>68</v>
      </c>
      <c r="D4" s="95">
        <v>10000</v>
      </c>
      <c r="E4" t="s">
        <v>69</v>
      </c>
    </row>
    <row r="5" spans="2:5">
      <c r="B5" s="96"/>
      <c r="C5" t="s">
        <v>70</v>
      </c>
      <c r="D5" s="94">
        <v>2</v>
      </c>
      <c r="E5" t="s">
        <v>71</v>
      </c>
    </row>
    <row r="6" spans="2:5">
      <c r="B6" s="96"/>
      <c r="C6" s="97" t="s">
        <v>72</v>
      </c>
      <c r="D6" s="99">
        <f>D4*D5</f>
        <v>20000</v>
      </c>
      <c r="E6" t="s">
        <v>71</v>
      </c>
    </row>
    <row r="7" spans="2:5">
      <c r="B7" s="93" t="s">
        <v>73</v>
      </c>
      <c r="C7" t="s">
        <v>74</v>
      </c>
      <c r="D7" s="100">
        <v>0.5</v>
      </c>
    </row>
    <row r="8" spans="2:5">
      <c r="B8" s="96"/>
      <c r="C8" t="s">
        <v>75</v>
      </c>
      <c r="D8" s="100">
        <v>0.5</v>
      </c>
    </row>
    <row r="9" spans="2:5">
      <c r="B9" s="93" t="s">
        <v>76</v>
      </c>
      <c r="C9" t="s">
        <v>77</v>
      </c>
      <c r="D9" s="101">
        <v>50000</v>
      </c>
      <c r="E9" t="s">
        <v>78</v>
      </c>
    </row>
    <row r="10" spans="2:5">
      <c r="B10" s="96"/>
      <c r="C10" t="s">
        <v>79</v>
      </c>
      <c r="D10" s="101">
        <v>50000</v>
      </c>
      <c r="E10" t="s">
        <v>78</v>
      </c>
    </row>
    <row r="11" spans="2:5">
      <c r="B11" s="96"/>
      <c r="C11" t="s">
        <v>80</v>
      </c>
      <c r="D11" s="101">
        <v>20000</v>
      </c>
      <c r="E11" t="s">
        <v>78</v>
      </c>
    </row>
    <row r="12" spans="2:5">
      <c r="B12" s="96"/>
      <c r="C12" s="98" t="s">
        <v>99</v>
      </c>
      <c r="D12" s="99">
        <f>D9+D10+D11</f>
        <v>120000</v>
      </c>
      <c r="E12" t="s">
        <v>78</v>
      </c>
    </row>
    <row r="13" spans="2:5">
      <c r="B13" s="93" t="s">
        <v>81</v>
      </c>
      <c r="C13" t="s">
        <v>82</v>
      </c>
      <c r="D13" s="101">
        <v>3000</v>
      </c>
      <c r="E13" t="s">
        <v>78</v>
      </c>
    </row>
    <row r="14" spans="2:5">
      <c r="B14" s="96"/>
      <c r="C14" t="s">
        <v>83</v>
      </c>
      <c r="D14" s="101">
        <v>3800</v>
      </c>
      <c r="E14" t="s">
        <v>78</v>
      </c>
    </row>
    <row r="15" spans="2:5">
      <c r="B15" s="96"/>
      <c r="C15" t="s">
        <v>84</v>
      </c>
      <c r="D15" s="101">
        <v>10030</v>
      </c>
      <c r="E15" t="s">
        <v>78</v>
      </c>
    </row>
    <row r="16" spans="2:5">
      <c r="B16" s="96"/>
      <c r="C16" s="98" t="s">
        <v>100</v>
      </c>
      <c r="D16" s="99">
        <f>D13+D14+D15</f>
        <v>16830</v>
      </c>
      <c r="E16" t="s">
        <v>78</v>
      </c>
    </row>
    <row r="17" spans="2:8">
      <c r="B17" s="93" t="s">
        <v>85</v>
      </c>
      <c r="C17" t="s">
        <v>86</v>
      </c>
      <c r="D17" s="101">
        <v>800</v>
      </c>
      <c r="E17" t="s">
        <v>78</v>
      </c>
    </row>
    <row r="19" spans="2:8" ht="21">
      <c r="B19" s="117" t="s">
        <v>87</v>
      </c>
      <c r="C19" s="91"/>
      <c r="D19" s="91"/>
      <c r="E19" s="91"/>
      <c r="F19" s="91"/>
      <c r="G19" s="91"/>
      <c r="H19" s="91"/>
    </row>
    <row r="20" spans="2:8">
      <c r="B20" s="92" t="s">
        <v>88</v>
      </c>
      <c r="C20" s="92" t="s">
        <v>89</v>
      </c>
      <c r="D20" s="92" t="s">
        <v>90</v>
      </c>
      <c r="E20" s="92" t="s">
        <v>91</v>
      </c>
      <c r="F20" s="92" t="s">
        <v>92</v>
      </c>
      <c r="G20" s="92" t="s">
        <v>93</v>
      </c>
      <c r="H20" s="92" t="s">
        <v>94</v>
      </c>
    </row>
    <row r="21" spans="2:8">
      <c r="B21" s="103">
        <v>1000</v>
      </c>
      <c r="C21" s="104">
        <f>($D$12-$D$17)*$D$7*B21</f>
        <v>59600000</v>
      </c>
      <c r="D21" s="104">
        <f>($D$16-$D$17)*$D$8*B21</f>
        <v>8015000</v>
      </c>
      <c r="E21" s="105">
        <f>C21+D21</f>
        <v>67615000</v>
      </c>
      <c r="F21" s="106">
        <f>((1.02083-0.00208)*$D$7+(0.14583-0.00208)*$D$8)*B21</f>
        <v>581.24999999999989</v>
      </c>
      <c r="G21" s="107">
        <f>F21/250</f>
        <v>2.3249999999999997</v>
      </c>
    </row>
    <row r="22" spans="2:8">
      <c r="B22" s="103">
        <v>3000</v>
      </c>
      <c r="C22" s="104">
        <f>($D$12-$D$17)*$D$7*B22</f>
        <v>178800000</v>
      </c>
      <c r="D22" s="104">
        <f>($D$16-$D$17)*$D$8*B22</f>
        <v>24045000</v>
      </c>
      <c r="E22" s="105">
        <f>C22+D22</f>
        <v>202845000</v>
      </c>
      <c r="F22" s="106">
        <f>((1.02083-0.00208)*$D$7+(0.14583-0.00208)*$D$8)*B22</f>
        <v>1743.7499999999998</v>
      </c>
      <c r="G22" s="107">
        <f>F22/250</f>
        <v>6.9749999999999988</v>
      </c>
    </row>
    <row r="23" spans="2:8">
      <c r="B23" s="103">
        <v>5000</v>
      </c>
      <c r="C23" s="104">
        <f>($D$12-$D$17)*$D$7*B23</f>
        <v>298000000</v>
      </c>
      <c r="D23" s="104">
        <f>($D$16-$D$17)*$D$8*B23</f>
        <v>40075000</v>
      </c>
      <c r="E23" s="105">
        <f>C23+D23</f>
        <v>338075000</v>
      </c>
      <c r="F23" s="106">
        <f>((1.02083-0.00208)*$D$7+(0.14583-0.00208)*$D$8)*B23</f>
        <v>2906.2499999999995</v>
      </c>
      <c r="G23" s="107">
        <f>F23/250</f>
        <v>11.624999999999998</v>
      </c>
    </row>
    <row r="24" spans="2:8">
      <c r="B24" s="108">
        <v>10000</v>
      </c>
      <c r="C24" s="109">
        <f>($D$12-$D$17)*$D$7*B24</f>
        <v>596000000</v>
      </c>
      <c r="D24" s="109">
        <f>($D$16-$D$17)*$D$8*B24</f>
        <v>80150000</v>
      </c>
      <c r="E24" s="110">
        <f>C24+D24</f>
        <v>676150000</v>
      </c>
      <c r="F24" s="111">
        <f>((1.02083-0.00208)*$D$7+(0.14583-0.00208)*$D$8)*B24</f>
        <v>5812.4999999999991</v>
      </c>
      <c r="G24" s="112">
        <f>F24/250</f>
        <v>23.249999999999996</v>
      </c>
      <c r="H24" s="113" t="s">
        <v>95</v>
      </c>
    </row>
    <row r="25" spans="2:8">
      <c r="B25" s="103">
        <v>20000</v>
      </c>
      <c r="C25" s="104">
        <f>($D$12-$D$17)*$D$7*B25</f>
        <v>1192000000</v>
      </c>
      <c r="D25" s="104">
        <f>($D$16-$D$17)*$D$8*B25</f>
        <v>160300000</v>
      </c>
      <c r="E25" s="105">
        <f>C25+D25</f>
        <v>1352300000</v>
      </c>
      <c r="F25" s="106">
        <f>((1.02083-0.00208)*$D$7+(0.14583-0.00208)*$D$8)*B25</f>
        <v>11624.999999999998</v>
      </c>
      <c r="G25" s="107">
        <f>F25/250</f>
        <v>46.499999999999993</v>
      </c>
    </row>
    <row r="26" spans="2:8">
      <c r="B26" s="103">
        <v>50000</v>
      </c>
      <c r="C26" s="104">
        <f>($D$12-$D$17)*$D$7*B26</f>
        <v>2980000000</v>
      </c>
      <c r="D26" s="104">
        <f>($D$16-$D$17)*$D$8*B26</f>
        <v>400750000</v>
      </c>
      <c r="E26" s="105">
        <f>C26+D26</f>
        <v>3380750000</v>
      </c>
      <c r="F26" s="106">
        <f>((1.02083-0.00208)*$D$7+(0.14583-0.00208)*$D$8)*B26</f>
        <v>29062.499999999996</v>
      </c>
      <c r="G26" s="107">
        <f>F26/250</f>
        <v>116.24999999999999</v>
      </c>
    </row>
    <row r="27" spans="2:8">
      <c r="B27" s="103">
        <v>100000</v>
      </c>
      <c r="C27" s="104">
        <f>($D$12-$D$17)*$D$7*B27</f>
        <v>5960000000</v>
      </c>
      <c r="D27" s="104">
        <f>($D$16-$D$17)*$D$8*B27</f>
        <v>801500000</v>
      </c>
      <c r="E27" s="105">
        <f>C27+D27</f>
        <v>6761500000</v>
      </c>
      <c r="F27" s="106">
        <f>((1.02083-0.00208)*$D$7+(0.14583-0.00208)*$D$8)*B27</f>
        <v>58124.999999999993</v>
      </c>
      <c r="G27" s="107">
        <f>F27/250</f>
        <v>232.49999999999997</v>
      </c>
    </row>
    <row r="28" spans="2:8">
      <c r="B28" s="103">
        <v>200000</v>
      </c>
      <c r="C28" s="104">
        <f>($D$12-$D$17)*$D$7*B28</f>
        <v>11920000000</v>
      </c>
      <c r="D28" s="104">
        <f>($D$16-$D$17)*$D$8*B28</f>
        <v>1603000000</v>
      </c>
      <c r="E28" s="105">
        <f>C28+D28</f>
        <v>13523000000</v>
      </c>
      <c r="F28" s="106">
        <f>((1.02083-0.00208)*$D$7+(0.14583-0.00208)*$D$8)*B28</f>
        <v>116249.99999999999</v>
      </c>
      <c r="G28" s="107">
        <f>F28/250</f>
        <v>464.99999999999994</v>
      </c>
    </row>
    <row r="30" spans="2:8" ht="21">
      <c r="B30" s="114" t="s">
        <v>96</v>
      </c>
      <c r="C30" s="115"/>
      <c r="D30" s="115"/>
      <c r="E30" s="115"/>
      <c r="F30" s="115"/>
      <c r="G30" s="115"/>
    </row>
    <row r="31" spans="2:8">
      <c r="B31" s="92" t="s">
        <v>97</v>
      </c>
      <c r="C31" s="92" t="s">
        <v>98</v>
      </c>
      <c r="D31" s="92" t="s">
        <v>101</v>
      </c>
      <c r="E31" s="92" t="s">
        <v>102</v>
      </c>
      <c r="F31" s="92" t="s">
        <v>103</v>
      </c>
      <c r="G31" s="92" t="s">
        <v>104</v>
      </c>
    </row>
    <row r="32" spans="2:8">
      <c r="B32" s="116">
        <v>1</v>
      </c>
      <c r="C32" s="116">
        <v>0</v>
      </c>
      <c r="D32" s="107">
        <f>($D$12-$D$17)*1*$D$4/100000000</f>
        <v>11.92</v>
      </c>
      <c r="E32" s="107">
        <f>($D$16-$D$17)*0*$D$4/100000000</f>
        <v>0</v>
      </c>
      <c r="F32" s="118">
        <f>D32+E32</f>
        <v>11.92</v>
      </c>
      <c r="G32" s="119">
        <f>F32-$F$35</f>
        <v>5.1585000000000001</v>
      </c>
    </row>
    <row r="33" spans="2:12">
      <c r="B33" s="116">
        <v>0.8</v>
      </c>
      <c r="C33" s="116">
        <v>0.2</v>
      </c>
      <c r="D33" s="107">
        <f>($D$12-$D$17)*0.8*$D$4/100000000</f>
        <v>9.5359999999999996</v>
      </c>
      <c r="E33" s="107">
        <f>($D$16-$D$17)*0.2*$D$4/100000000</f>
        <v>0.3206</v>
      </c>
      <c r="F33" s="118">
        <f>D33+E33</f>
        <v>9.8566000000000003</v>
      </c>
      <c r="G33" s="119">
        <f>F33-$F$35</f>
        <v>3.0951000000000004</v>
      </c>
    </row>
    <row r="34" spans="2:12">
      <c r="B34" s="116">
        <v>0.6</v>
      </c>
      <c r="C34" s="116">
        <v>0.4</v>
      </c>
      <c r="D34" s="107">
        <f>($D$12-$D$17)*0.6*$D$4/100000000</f>
        <v>7.1520000000000001</v>
      </c>
      <c r="E34" s="107">
        <f>($D$16-$D$17)*0.4*$D$4/100000000</f>
        <v>0.64119999999999999</v>
      </c>
      <c r="F34" s="118">
        <f>D34+E34</f>
        <v>7.7932000000000006</v>
      </c>
      <c r="G34" s="119">
        <f>F34-$F$35</f>
        <v>1.0317000000000007</v>
      </c>
    </row>
    <row r="35" spans="2:12">
      <c r="B35" s="120">
        <v>0.5</v>
      </c>
      <c r="C35" s="120">
        <v>0.5</v>
      </c>
      <c r="D35" s="112">
        <f>($D$12-$D$17)*0.5*$D$4/100000000</f>
        <v>5.96</v>
      </c>
      <c r="E35" s="112">
        <f>($D$16-$D$17)*0.5*$D$4/100000000</f>
        <v>0.80149999999999999</v>
      </c>
      <c r="F35" s="121">
        <f>D35+E35</f>
        <v>6.7614999999999998</v>
      </c>
      <c r="G35" s="113" t="s">
        <v>105</v>
      </c>
    </row>
    <row r="36" spans="2:12">
      <c r="B36" s="116">
        <v>0.3</v>
      </c>
      <c r="C36" s="116">
        <v>0.7</v>
      </c>
      <c r="D36" s="107">
        <f>($D$12-$D$17)*0.3*$D$4/100000000</f>
        <v>3.5760000000000001</v>
      </c>
      <c r="E36" s="107">
        <f>($D$16-$D$17)*0.7*$D$4/100000000</f>
        <v>1.1221000000000001</v>
      </c>
      <c r="F36" s="118">
        <f>D36+E36</f>
        <v>4.6981000000000002</v>
      </c>
      <c r="G36" s="122">
        <f>F36-$F$35</f>
        <v>-2.0633999999999997</v>
      </c>
    </row>
    <row r="37" spans="2:12">
      <c r="B37" s="116">
        <v>0.2</v>
      </c>
      <c r="C37" s="116">
        <v>0.8</v>
      </c>
      <c r="D37" s="107">
        <f>($D$12-$D$17)*0.2*$D$4/100000000</f>
        <v>2.3839999999999999</v>
      </c>
      <c r="E37" s="107">
        <f>($D$16-$D$17)*0.8*$D$4/100000000</f>
        <v>1.2824</v>
      </c>
      <c r="F37" s="118">
        <f>D37+E37</f>
        <v>3.6663999999999999</v>
      </c>
      <c r="G37" s="122">
        <f>F37-$F$35</f>
        <v>-3.0951</v>
      </c>
    </row>
    <row r="38" spans="2:12">
      <c r="B38" s="116">
        <v>0</v>
      </c>
      <c r="C38" s="116">
        <v>1</v>
      </c>
      <c r="D38" s="107">
        <f>($D$12-$D$17)*0*$D$4/100000000</f>
        <v>0</v>
      </c>
      <c r="E38" s="107">
        <f>($D$16-$D$17)*1*$D$4/100000000</f>
        <v>1.603</v>
      </c>
      <c r="F38" s="118">
        <f>D38+E38</f>
        <v>1.603</v>
      </c>
      <c r="G38" s="122">
        <f>F38-$F$35</f>
        <v>-5.1585000000000001</v>
      </c>
    </row>
    <row r="40" spans="2:12" ht="21">
      <c r="B40" s="124" t="s">
        <v>110</v>
      </c>
      <c r="C40" s="125"/>
      <c r="D40" s="125"/>
      <c r="E40" s="125"/>
      <c r="F40" s="125"/>
      <c r="I40" s="136" t="s">
        <v>148</v>
      </c>
      <c r="J40" s="125"/>
      <c r="K40" s="125"/>
      <c r="L40" s="125"/>
    </row>
    <row r="41" spans="2:12">
      <c r="B41" s="92" t="s">
        <v>64</v>
      </c>
      <c r="C41" s="92" t="s">
        <v>65</v>
      </c>
      <c r="D41" s="92" t="s">
        <v>66</v>
      </c>
      <c r="E41" s="92" t="s">
        <v>94</v>
      </c>
      <c r="I41" s="92" t="s">
        <v>64</v>
      </c>
      <c r="J41" s="92" t="s">
        <v>149</v>
      </c>
      <c r="K41" s="92" t="s">
        <v>150</v>
      </c>
      <c r="L41" s="92" t="s">
        <v>151</v>
      </c>
    </row>
    <row r="42" spans="2:12">
      <c r="B42" s="96" t="s">
        <v>111</v>
      </c>
      <c r="C42" s="101">
        <v>8000000</v>
      </c>
      <c r="D42" t="s">
        <v>78</v>
      </c>
      <c r="E42" t="s">
        <v>112</v>
      </c>
      <c r="I42" s="137" t="s">
        <v>152</v>
      </c>
      <c r="J42" s="138">
        <f>D12*D7+D16*D8</f>
        <v>68415</v>
      </c>
      <c r="K42" s="138">
        <f>D17</f>
        <v>800</v>
      </c>
      <c r="L42" s="139">
        <f>(J42-K42)/J42</f>
        <v>0.98830665789666006</v>
      </c>
    </row>
    <row r="43" spans="2:12">
      <c r="B43" s="126" t="s">
        <v>113</v>
      </c>
      <c r="C43" s="99">
        <f>E24</f>
        <v>676150000</v>
      </c>
      <c r="D43" t="s">
        <v>78</v>
      </c>
      <c r="E43" t="s">
        <v>114</v>
      </c>
      <c r="I43" s="137" t="s">
        <v>153</v>
      </c>
      <c r="J43" s="140">
        <f>J42*D4/100000000</f>
        <v>6.8414999999999999</v>
      </c>
      <c r="K43" s="140">
        <f>K42*D4/100000000</f>
        <v>0.08</v>
      </c>
      <c r="L43" s="139">
        <f>(J43-K43)/J43</f>
        <v>0.98830665789666006</v>
      </c>
    </row>
    <row r="44" spans="2:12">
      <c r="B44" s="126" t="s">
        <v>115</v>
      </c>
      <c r="C44" s="99">
        <f>C43-C42</f>
        <v>668150000</v>
      </c>
      <c r="D44" t="s">
        <v>78</v>
      </c>
      <c r="E44" s="135" t="s">
        <v>145</v>
      </c>
      <c r="I44" s="137" t="s">
        <v>154</v>
      </c>
      <c r="J44" s="140">
        <f>(1.02083*60)*D7+(0.14583*60)*D8</f>
        <v>34.999799999999993</v>
      </c>
      <c r="K44" s="140">
        <v>1</v>
      </c>
      <c r="L44" s="139">
        <f>(J44-K44)/J44</f>
        <v>0.97142840816233234</v>
      </c>
    </row>
    <row r="45" spans="2:12" ht="25.5">
      <c r="B45" s="127" t="s">
        <v>116</v>
      </c>
      <c r="C45" s="128">
        <f>(C43-C42)/C42</f>
        <v>83.518749999999997</v>
      </c>
      <c r="E45" s="135" t="s">
        <v>146</v>
      </c>
      <c r="I45" s="137" t="s">
        <v>155</v>
      </c>
      <c r="J45" s="138">
        <f>J44*D4/60/8</f>
        <v>729.16249999999991</v>
      </c>
      <c r="K45" s="138">
        <f>K44*D4/60/8</f>
        <v>20.833333333333332</v>
      </c>
      <c r="L45" s="139">
        <f>(J45-K45)/J45</f>
        <v>0.97142840816233234</v>
      </c>
    </row>
    <row r="46" spans="2:12" ht="21">
      <c r="B46" s="127" t="s">
        <v>117</v>
      </c>
      <c r="C46" s="129">
        <f>C42/C43*12</f>
        <v>0.14198032980847447</v>
      </c>
      <c r="D46" t="s">
        <v>118</v>
      </c>
      <c r="E46" s="135" t="s">
        <v>147</v>
      </c>
      <c r="I46" s="137" t="s">
        <v>156</v>
      </c>
      <c r="J46" s="140">
        <f>D6*0.00864</f>
        <v>172.8</v>
      </c>
      <c r="K46" s="140">
        <v>0</v>
      </c>
      <c r="L46" s="141">
        <f>1</f>
        <v>1</v>
      </c>
    </row>
    <row r="47" spans="2:12">
      <c r="I47" s="137" t="s">
        <v>157</v>
      </c>
      <c r="J47" s="142" t="s">
        <v>158</v>
      </c>
      <c r="K47" s="143" t="s">
        <v>159</v>
      </c>
      <c r="L47" s="102" t="s">
        <v>160</v>
      </c>
    </row>
    <row r="48" spans="2:12">
      <c r="B48" s="130" t="s">
        <v>119</v>
      </c>
    </row>
    <row r="49" spans="2:11" ht="87" customHeight="1">
      <c r="B49" s="134" t="s">
        <v>121</v>
      </c>
      <c r="C49" s="134"/>
      <c r="D49" s="134"/>
      <c r="E49" s="134"/>
      <c r="F49" s="134"/>
    </row>
    <row r="50" spans="2:11" ht="17.5">
      <c r="I50" s="144" t="s">
        <v>161</v>
      </c>
      <c r="J50" s="125"/>
      <c r="K50" s="125"/>
    </row>
    <row r="51" spans="2:11" ht="17.5">
      <c r="B51" s="131" t="s">
        <v>130</v>
      </c>
      <c r="C51" s="91"/>
      <c r="E51" s="133" t="s">
        <v>140</v>
      </c>
      <c r="F51" s="115"/>
      <c r="I51" s="92" t="s">
        <v>64</v>
      </c>
      <c r="J51" s="92" t="s">
        <v>149</v>
      </c>
      <c r="K51" s="92" t="s">
        <v>150</v>
      </c>
    </row>
    <row r="52" spans="2:11">
      <c r="B52" s="92" t="s">
        <v>120</v>
      </c>
      <c r="C52" s="92" t="s">
        <v>131</v>
      </c>
      <c r="E52" s="92" t="s">
        <v>120</v>
      </c>
      <c r="F52" s="92" t="s">
        <v>129</v>
      </c>
      <c r="I52" s="102" t="s">
        <v>162</v>
      </c>
      <c r="J52" s="107">
        <f>J43</f>
        <v>6.8414999999999999</v>
      </c>
      <c r="K52" s="107">
        <f>K43</f>
        <v>0.08</v>
      </c>
    </row>
    <row r="53" spans="2:11">
      <c r="B53" s="102" t="s">
        <v>132</v>
      </c>
      <c r="C53" s="107">
        <f>E21/100000000</f>
        <v>0.67615000000000003</v>
      </c>
      <c r="E53" s="102" t="s">
        <v>132</v>
      </c>
      <c r="F53" s="107">
        <f>F21/250</f>
        <v>2.3249999999999997</v>
      </c>
      <c r="I53" s="102" t="s">
        <v>155</v>
      </c>
      <c r="J53" s="145">
        <f>J45</f>
        <v>729.16249999999991</v>
      </c>
      <c r="K53" s="145">
        <f>K45</f>
        <v>20.833333333333332</v>
      </c>
    </row>
    <row r="54" spans="2:11">
      <c r="B54" s="102" t="s">
        <v>133</v>
      </c>
      <c r="C54" s="107">
        <f>E22/100000000</f>
        <v>2.0284499999999999</v>
      </c>
      <c r="E54" s="102" t="s">
        <v>133</v>
      </c>
      <c r="F54" s="107">
        <f>F22/250</f>
        <v>6.9749999999999988</v>
      </c>
    </row>
    <row r="55" spans="2:11">
      <c r="B55" s="102" t="s">
        <v>134</v>
      </c>
      <c r="C55" s="107">
        <f>E23/100000000</f>
        <v>3.3807499999999999</v>
      </c>
      <c r="E55" s="102" t="s">
        <v>134</v>
      </c>
      <c r="F55" s="107">
        <f>F23/250</f>
        <v>11.624999999999998</v>
      </c>
    </row>
    <row r="56" spans="2:11">
      <c r="B56" s="132" t="s">
        <v>135</v>
      </c>
      <c r="C56" s="121">
        <f>E24/100000000</f>
        <v>6.7614999999999998</v>
      </c>
      <c r="E56" s="132" t="s">
        <v>135</v>
      </c>
      <c r="F56" s="121">
        <f>F24/250</f>
        <v>23.249999999999996</v>
      </c>
    </row>
    <row r="57" spans="2:11">
      <c r="B57" s="102" t="s">
        <v>136</v>
      </c>
      <c r="C57" s="107">
        <f>E25/100000000</f>
        <v>13.523</v>
      </c>
      <c r="E57" s="102" t="s">
        <v>136</v>
      </c>
      <c r="F57" s="107">
        <f>F25/250</f>
        <v>46.499999999999993</v>
      </c>
    </row>
    <row r="58" spans="2:11">
      <c r="B58" s="102" t="s">
        <v>137</v>
      </c>
      <c r="C58" s="107">
        <f>E26/100000000</f>
        <v>33.807499999999997</v>
      </c>
      <c r="E58" s="102" t="s">
        <v>137</v>
      </c>
      <c r="F58" s="107">
        <f>F26/250</f>
        <v>116.24999999999999</v>
      </c>
    </row>
    <row r="59" spans="2:11">
      <c r="B59" s="102" t="s">
        <v>138</v>
      </c>
      <c r="C59" s="107">
        <f>E27/100000000</f>
        <v>67.614999999999995</v>
      </c>
      <c r="E59" s="102" t="s">
        <v>138</v>
      </c>
      <c r="F59" s="107">
        <f>F27/250</f>
        <v>232.49999999999997</v>
      </c>
    </row>
    <row r="60" spans="2:11">
      <c r="B60" s="102" t="s">
        <v>139</v>
      </c>
      <c r="C60" s="107">
        <f>E28/100000000</f>
        <v>135.22999999999999</v>
      </c>
      <c r="E60" s="102" t="s">
        <v>139</v>
      </c>
      <c r="F60" s="107">
        <f>F28/250</f>
        <v>464.99999999999994</v>
      </c>
    </row>
    <row r="70" spans="5:6">
      <c r="E70">
        <v>1000000</v>
      </c>
      <c r="F70">
        <v>30</v>
      </c>
    </row>
    <row r="71" spans="5:6">
      <c r="E71">
        <v>40000</v>
      </c>
    </row>
    <row r="72" spans="5:6">
      <c r="E72">
        <f>E70-E71</f>
        <v>960000</v>
      </c>
    </row>
    <row r="73" spans="5:6">
      <c r="E73">
        <v>2000</v>
      </c>
    </row>
    <row r="74" spans="5:6">
      <c r="E74">
        <f>E72*E73</f>
        <v>1920000000</v>
      </c>
    </row>
  </sheetData>
  <mergeCells count="1">
    <mergeCell ref="B49:F4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Claude Log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forcs</dc:creator>
  <cp:lastModifiedBy>JO Ryan</cp:lastModifiedBy>
  <dcterms:created xsi:type="dcterms:W3CDTF">2015-06-05T18:19:34Z</dcterms:created>
  <dcterms:modified xsi:type="dcterms:W3CDTF">2026-01-27T02:00:28Z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