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jt\ROI\"/>
    </mc:Choice>
  </mc:AlternateContent>
  <xr:revisionPtr revIDLastSave="0" documentId="13_ncr:1_{4B6375F0-1A6B-4E77-A6B2-C392759ACE71}" xr6:coauthVersionLast="47" xr6:coauthVersionMax="47" xr10:uidLastSave="{00000000-0000-0000-0000-000000000000}"/>
  <bookViews>
    <workbookView xWindow="38280" yWindow="2340" windowWidth="38640" windowHeight="21120" xr2:uid="{00000000-000D-0000-FFFF-FFFF00000000}"/>
  </bookViews>
  <sheets>
    <sheet name="ROI 시뮬레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51" i="1"/>
  <c r="C50" i="1"/>
  <c r="E49" i="1"/>
  <c r="C59" i="1" s="1"/>
  <c r="C49" i="1"/>
  <c r="D42" i="1"/>
  <c r="D43" i="1" s="1"/>
  <c r="D44" i="1" s="1"/>
  <c r="C42" i="1"/>
  <c r="C43" i="1" s="1"/>
  <c r="C35" i="1"/>
  <c r="D34" i="1"/>
  <c r="D35" i="1" s="1"/>
  <c r="C34" i="1"/>
  <c r="C36" i="1" l="1"/>
  <c r="C57" i="1" s="1"/>
  <c r="F35" i="1"/>
  <c r="C44" i="1"/>
  <c r="F44" i="1" s="1"/>
  <c r="C58" i="1" s="1"/>
  <c r="F43" i="1"/>
  <c r="F34" i="1"/>
  <c r="F42" i="1"/>
  <c r="E50" i="1"/>
  <c r="C60" i="1" s="1"/>
  <c r="E51" i="1"/>
  <c r="E52" i="1"/>
  <c r="C56" i="1" l="1"/>
  <c r="F36" i="1"/>
</calcChain>
</file>

<file path=xl/sharedStrings.xml><?xml version="1.0" encoding="utf-8"?>
<sst xmlns="http://schemas.openxmlformats.org/spreadsheetml/2006/main" count="86" uniqueCount="76">
  <si>
    <t>📊 eformsign ROI 시뮬레이터</t>
  </si>
  <si>
    <t>전자계약 도입 시 절감 효과를 직접 계산해 보세요. 노란색 셀의 값을 자유롭게 변경할 수 있습니다.</t>
  </si>
  <si>
    <t>⚙️  시뮬레이션 입력값</t>
  </si>
  <si>
    <t>📝 연간 계약 건수</t>
  </si>
  <si>
    <t>건 / 년</t>
  </si>
  <si>
    <t>🤝 대면 계약 비율</t>
  </si>
  <si>
    <t>(나머지는 등기/우편 계약)</t>
  </si>
  <si>
    <t>💰 eformsign 건당 요금</t>
  </si>
  <si>
    <t>원 / 건</t>
  </si>
  <si>
    <t>🔧 연간 부가 옵션 비용</t>
  </si>
  <si>
    <t>원 / 년 (선택사항)</t>
  </si>
  <si>
    <t>📐  산출 기준 (조정 가능)</t>
  </si>
  <si>
    <t>항목</t>
  </si>
  <si>
    <t>기준값</t>
  </si>
  <si>
    <t>단위</t>
  </si>
  <si>
    <t>비고</t>
  </si>
  <si>
    <t>시간당 인건비</t>
  </si>
  <si>
    <t>원/시간</t>
  </si>
  <si>
    <t>사무직 평균 연봉 기준</t>
  </si>
  <si>
    <t>대면 계약 소요시간</t>
  </si>
  <si>
    <t>시간</t>
  </si>
  <si>
    <t>이동+미팅 시간 포함</t>
  </si>
  <si>
    <t>등기 계약 소요시간</t>
  </si>
  <si>
    <t>출력~발송~보관 (약 20분)</t>
  </si>
  <si>
    <t>전자계약 소요시간</t>
  </si>
  <si>
    <t>문서 업로드~발송 (약 3분)</t>
  </si>
  <si>
    <t>대면 계약 실비</t>
  </si>
  <si>
    <t>원/건</t>
  </si>
  <si>
    <t>교통비, 식비 등</t>
  </si>
  <si>
    <t>등기 계약 실비</t>
  </si>
  <si>
    <t>등기우편, 자재비 등</t>
  </si>
  <si>
    <t>계약서 종이 매수</t>
  </si>
  <si>
    <t>장/건</t>
  </si>
  <si>
    <t>A4 기준</t>
  </si>
  <si>
    <t>1일 근무시간</t>
  </si>
  <si>
    <t>연간 근무일수</t>
  </si>
  <si>
    <t>일</t>
  </si>
  <si>
    <t>ESG 항목</t>
  </si>
  <si>
    <t>A4 1장당 탄소배출량</t>
  </si>
  <si>
    <t>kg</t>
  </si>
  <si>
    <t>환경부 탄소발자국 기준</t>
  </si>
  <si>
    <t>A4 1장당 물 사용량</t>
  </si>
  <si>
    <t>L</t>
  </si>
  <si>
    <t>국제 표준 데이터</t>
  </si>
  <si>
    <t>나무 1그루당 A4 매수</t>
  </si>
  <si>
    <t>장</t>
  </si>
  <si>
    <t>1/0.00036 환산</t>
  </si>
  <si>
    <t>📈  비용 분석 결과</t>
  </si>
  <si>
    <t>구분</t>
  </si>
  <si>
    <t>도입 전 (현재)</t>
  </si>
  <si>
    <t>도입 후 (eformsign)</t>
  </si>
  <si>
    <t>절감 효과</t>
  </si>
  <si>
    <t>건당 비용</t>
  </si>
  <si>
    <t>연간 총비용</t>
  </si>
  <si>
    <t>ROI (%)</t>
  </si>
  <si>
    <t>← 투자 회수 기간</t>
  </si>
  <si>
    <t>⏱️  시간 절감 분석</t>
  </si>
  <si>
    <t>도입 전</t>
  </si>
  <si>
    <t>도입 후</t>
  </si>
  <si>
    <t>절감 시간</t>
  </si>
  <si>
    <t>건당 소요시간</t>
  </si>
  <si>
    <t>연간 총 소요시간</t>
  </si>
  <si>
    <t>근무일 환산</t>
  </si>
  <si>
    <t>🌱  ESG 탄소중립 효과</t>
  </si>
  <si>
    <t>산출식</t>
  </si>
  <si>
    <t>절감량</t>
  </si>
  <si>
    <t>📄 종이 절감량</t>
  </si>
  <si>
    <t>🌍 CO₂ 절감량</t>
  </si>
  <si>
    <t>💧 물 절감량</t>
  </si>
  <si>
    <t>🌳 나무 절감량</t>
  </si>
  <si>
    <t>🏆  핵심 요약</t>
  </si>
  <si>
    <t>💰 연간 절감 비용</t>
  </si>
  <si>
    <t>📊 투자수익률 (ROI)</t>
  </si>
  <si>
    <t>⏱️ 절감 근무일</t>
  </si>
  <si>
    <t>🌍 탄소 절감량</t>
  </si>
  <si>
    <t>ⓘ 본 시뮬레이션은 입력 조건에 따른 추정치이며, 실제 도입 효과와 차이가 있을 수 있습니다.  |  © FORCS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</si>
</sst>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00"/>
    <numFmt numFmtId="177" formatCode="#,##0\ &quot;원&quot;"/>
    <numFmt numFmtId="178" formatCode="#,##0.0\ &quot;%&quot;"/>
    <numFmt numFmtId="179" formatCode="#,##0\ &quot;일&quot;"/>
    <numFmt numFmtId="180" formatCode="0.00\ &quot;시간&quot;"/>
    <numFmt numFmtId="181" formatCode="#,##0\ &quot;시간&quot;"/>
    <numFmt numFmtId="182" formatCode="#,##0.0\ &quot;일&quot;"/>
    <numFmt numFmtId="183" formatCode="#,##0\ &quot;장&quot;"/>
    <numFmt numFmtId="184" formatCode="#,##0.00\ &quot;kg&quot;"/>
    <numFmt numFmtId="185" formatCode="#,##0\ &quot;L&quot;"/>
    <numFmt numFmtId="186" formatCode="0.00\ &quot;그루&quot;"/>
    <numFmt numFmtId="187" formatCode="0.0%"/>
  </numFmts>
  <fonts count="15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sz val="11"/>
      <color rgb="FF93C5FD"/>
      <name val="맑은 고딕"/>
      <family val="3"/>
      <charset val="129"/>
    </font>
    <font>
      <b/>
      <sz val="13"/>
      <color rgb="FF1E3A5F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b/>
      <sz val="11"/>
      <color rgb="FFB45309"/>
      <name val="맑은 고딕"/>
      <family val="3"/>
      <charset val="129"/>
    </font>
    <font>
      <sz val="9"/>
      <color rgb="FF94A3B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E293B"/>
      <name val="맑은 고딕"/>
      <family val="3"/>
      <charset val="129"/>
    </font>
    <font>
      <i/>
      <sz val="9"/>
      <color rgb="FF94A3B8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b/>
      <sz val="11"/>
      <color rgb="FF059669"/>
      <name val="맑은 고딕"/>
      <family val="3"/>
      <charset val="129"/>
    </font>
    <font>
      <b/>
      <sz val="12"/>
      <color rgb="FF059669"/>
      <name val="맑은 고딕"/>
      <family val="3"/>
      <charset val="129"/>
    </font>
    <font>
      <b/>
      <sz val="16"/>
      <color rgb="FF05966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ECFDF5"/>
        <bgColor rgb="FFECFDF5"/>
      </patternFill>
    </fill>
    <fill>
      <patternFill patternType="solid">
        <fgColor rgb="FFFFFBEB"/>
        <bgColor rgb="FFFFFBE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563E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3" borderId="0" xfId="0" applyFill="1"/>
    <xf numFmtId="0" fontId="4" fillId="4" borderId="2" xfId="0" applyFont="1" applyFill="1" applyBorder="1" applyAlignment="1">
      <alignment horizontal="left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2" fontId="5" fillId="5" borderId="3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77" fontId="10" fillId="4" borderId="2" xfId="0" applyNumberFormat="1" applyFont="1" applyFill="1" applyBorder="1" applyAlignment="1">
      <alignment horizontal="center" vertical="center" wrapText="1"/>
    </xf>
    <xf numFmtId="177" fontId="11" fillId="8" borderId="2" xfId="0" applyNumberFormat="1" applyFont="1" applyFill="1" applyBorder="1" applyAlignment="1">
      <alignment horizontal="center" vertical="center" wrapText="1"/>
    </xf>
    <xf numFmtId="177" fontId="10" fillId="3" borderId="2" xfId="0" applyNumberFormat="1" applyFont="1" applyFill="1" applyBorder="1" applyAlignment="1">
      <alignment horizontal="center" vertical="center" wrapText="1"/>
    </xf>
    <xf numFmtId="177" fontId="12" fillId="8" borderId="2" xfId="0" applyNumberFormat="1" applyFont="1" applyFill="1" applyBorder="1" applyAlignment="1">
      <alignment horizontal="center" vertical="center" wrapText="1"/>
    </xf>
    <xf numFmtId="179" fontId="10" fillId="9" borderId="2" xfId="0" applyNumberFormat="1" applyFont="1" applyFill="1" applyBorder="1" applyAlignment="1">
      <alignment horizontal="center" vertical="center" wrapText="1"/>
    </xf>
    <xf numFmtId="180" fontId="10" fillId="4" borderId="2" xfId="0" applyNumberFormat="1" applyFont="1" applyFill="1" applyBorder="1" applyAlignment="1">
      <alignment horizontal="center" vertical="center" wrapText="1"/>
    </xf>
    <xf numFmtId="180" fontId="11" fillId="8" borderId="2" xfId="0" applyNumberFormat="1" applyFont="1" applyFill="1" applyBorder="1" applyAlignment="1">
      <alignment horizontal="center" vertical="center" wrapText="1"/>
    </xf>
    <xf numFmtId="181" fontId="10" fillId="3" borderId="2" xfId="0" applyNumberFormat="1" applyFont="1" applyFill="1" applyBorder="1" applyAlignment="1">
      <alignment horizontal="center" vertical="center" wrapText="1"/>
    </xf>
    <xf numFmtId="181" fontId="12" fillId="8" borderId="2" xfId="0" applyNumberFormat="1" applyFont="1" applyFill="1" applyBorder="1" applyAlignment="1">
      <alignment horizontal="center" vertical="center" wrapText="1"/>
    </xf>
    <xf numFmtId="182" fontId="10" fillId="4" borderId="2" xfId="0" applyNumberFormat="1" applyFont="1" applyFill="1" applyBorder="1" applyAlignment="1">
      <alignment horizontal="center" vertical="center" wrapText="1"/>
    </xf>
    <xf numFmtId="182" fontId="12" fillId="8" borderId="2" xfId="0" applyNumberFormat="1" applyFont="1" applyFill="1" applyBorder="1" applyAlignment="1">
      <alignment horizontal="center" vertical="center" wrapText="1"/>
    </xf>
    <xf numFmtId="184" fontId="12" fillId="8" borderId="2" xfId="0" applyNumberFormat="1" applyFont="1" applyFill="1" applyBorder="1" applyAlignment="1">
      <alignment horizontal="center" vertical="center" wrapText="1"/>
    </xf>
    <xf numFmtId="0" fontId="0" fillId="8" borderId="0" xfId="0" applyFill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77" fontId="10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9" fillId="4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0" fillId="6" borderId="5" xfId="0" applyFill="1" applyBorder="1"/>
    <xf numFmtId="186" fontId="12" fillId="8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4" borderId="5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0" fillId="7" borderId="5" xfId="0" applyFill="1" applyBorder="1"/>
    <xf numFmtId="187" fontId="12" fillId="3" borderId="2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9" fillId="3" borderId="2" xfId="0" applyFont="1" applyFill="1" applyBorder="1" applyAlignment="1">
      <alignment horizontal="left" vertical="center" wrapText="1"/>
    </xf>
    <xf numFmtId="178" fontId="13" fillId="4" borderId="2" xfId="0" applyNumberFormat="1" applyFont="1" applyFill="1" applyBorder="1" applyAlignment="1">
      <alignment horizontal="center" vertical="center" wrapText="1"/>
    </xf>
    <xf numFmtId="185" fontId="12" fillId="8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177" fontId="10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0" fillId="3" borderId="4" xfId="0" applyFill="1" applyBorder="1"/>
    <xf numFmtId="0" fontId="0" fillId="3" borderId="5" xfId="0" applyFill="1" applyBorder="1"/>
    <xf numFmtId="182" fontId="12" fillId="4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81" fontId="10" fillId="3" borderId="2" xfId="0" applyNumberFormat="1" applyFont="1" applyFill="1" applyBorder="1" applyAlignment="1">
      <alignment horizontal="center" vertical="center" wrapText="1"/>
    </xf>
    <xf numFmtId="183" fontId="12" fillId="8" borderId="2" xfId="0" applyNumberFormat="1" applyFont="1" applyFill="1" applyBorder="1" applyAlignment="1">
      <alignment horizontal="center" vertical="center" wrapText="1"/>
    </xf>
    <xf numFmtId="184" fontId="12" fillId="4" borderId="2" xfId="0" applyNumberFormat="1" applyFont="1" applyFill="1" applyBorder="1" applyAlignment="1">
      <alignment horizontal="center" vertical="center" wrapText="1"/>
    </xf>
    <xf numFmtId="180" fontId="10" fillId="4" borderId="2" xfId="0" applyNumberFormat="1" applyFont="1" applyFill="1" applyBorder="1" applyAlignment="1">
      <alignment horizontal="center" vertical="center" wrapText="1"/>
    </xf>
    <xf numFmtId="177" fontId="13" fillId="4" borderId="2" xfId="0" applyNumberFormat="1" applyFont="1" applyFill="1" applyBorder="1" applyAlignment="1">
      <alignment horizontal="center" vertical="center" wrapText="1"/>
    </xf>
    <xf numFmtId="183" fontId="12" fillId="3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0" borderId="0" xfId="0"/>
    <xf numFmtId="182" fontId="10" fillId="4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3"/>
  <sheetViews>
    <sheetView tabSelected="1" workbookViewId="0">
      <pane xSplit="1" ySplit="3" topLeftCell="B20" activePane="bottomRight" state="frozen"/>
      <selection pane="topRight"/>
      <selection pane="bottomLeft"/>
      <selection pane="bottomRight" activeCell="M30" sqref="M30"/>
    </sheetView>
  </sheetViews>
  <sheetFormatPr defaultRowHeight="17" x14ac:dyDescent="0.45"/>
  <cols>
    <col min="1" max="1" width="3" customWidth="1"/>
    <col min="2" max="2" width="28" customWidth="1"/>
    <col min="3" max="3" width="18" customWidth="1"/>
    <col min="4" max="4" width="16" customWidth="1"/>
    <col min="5" max="5" width="18" customWidth="1"/>
    <col min="6" max="6" width="16" customWidth="1"/>
    <col min="7" max="7" width="3" customWidth="1"/>
  </cols>
  <sheetData>
    <row r="1" spans="2:6" ht="50" customHeight="1" x14ac:dyDescent="0.45">
      <c r="B1" s="50" t="s">
        <v>0</v>
      </c>
      <c r="C1" s="47"/>
      <c r="D1" s="47"/>
      <c r="E1" s="47"/>
      <c r="F1" s="47"/>
    </row>
    <row r="2" spans="2:6" ht="25" customHeight="1" x14ac:dyDescent="0.45">
      <c r="B2" s="46" t="s">
        <v>1</v>
      </c>
      <c r="C2" s="47"/>
      <c r="D2" s="47"/>
      <c r="E2" s="47"/>
      <c r="F2" s="47"/>
    </row>
    <row r="3" spans="2:6" ht="8" customHeight="1" x14ac:dyDescent="0.45">
      <c r="B3" s="1"/>
      <c r="C3" s="1"/>
      <c r="D3" s="1"/>
      <c r="E3" s="1"/>
      <c r="F3" s="1"/>
    </row>
    <row r="5" spans="2:6" ht="30" customHeight="1" x14ac:dyDescent="0.45">
      <c r="B5" s="28" t="s">
        <v>2</v>
      </c>
      <c r="C5" s="29"/>
      <c r="D5" s="29"/>
      <c r="E5" s="29"/>
      <c r="F5" s="29"/>
    </row>
    <row r="6" spans="2:6" ht="5" customHeight="1" x14ac:dyDescent="0.45"/>
    <row r="7" spans="2:6" ht="28" customHeight="1" x14ac:dyDescent="0.45">
      <c r="B7" s="2" t="s">
        <v>3</v>
      </c>
      <c r="C7" s="3">
        <v>3000</v>
      </c>
      <c r="D7" s="36" t="s">
        <v>4</v>
      </c>
      <c r="E7" s="37"/>
      <c r="F7" s="38"/>
    </row>
    <row r="8" spans="2:6" ht="28" customHeight="1" x14ac:dyDescent="0.45">
      <c r="B8" s="4" t="s">
        <v>5</v>
      </c>
      <c r="C8" s="5">
        <v>0.5</v>
      </c>
      <c r="D8" s="51" t="s">
        <v>6</v>
      </c>
      <c r="E8" s="52"/>
      <c r="F8" s="53"/>
    </row>
    <row r="9" spans="2:6" ht="28" customHeight="1" x14ac:dyDescent="0.45">
      <c r="B9" s="2" t="s">
        <v>7</v>
      </c>
      <c r="C9" s="3">
        <v>220</v>
      </c>
      <c r="D9" s="36" t="s">
        <v>8</v>
      </c>
      <c r="E9" s="37"/>
      <c r="F9" s="38"/>
    </row>
    <row r="10" spans="2:6" ht="28" customHeight="1" x14ac:dyDescent="0.45">
      <c r="B10" s="4" t="s">
        <v>9</v>
      </c>
      <c r="C10" s="3">
        <v>0</v>
      </c>
      <c r="D10" s="51" t="s">
        <v>10</v>
      </c>
      <c r="E10" s="52"/>
      <c r="F10" s="53"/>
    </row>
    <row r="11" spans="2:6" ht="5" customHeight="1" x14ac:dyDescent="0.45"/>
    <row r="12" spans="2:6" ht="30" customHeight="1" x14ac:dyDescent="0.45">
      <c r="B12" s="28" t="s">
        <v>11</v>
      </c>
      <c r="C12" s="29"/>
      <c r="D12" s="29"/>
      <c r="E12" s="29"/>
      <c r="F12" s="29"/>
    </row>
    <row r="13" spans="2:6" ht="5" customHeight="1" x14ac:dyDescent="0.45"/>
    <row r="14" spans="2:6" ht="25" customHeight="1" x14ac:dyDescent="0.45">
      <c r="B14" s="6" t="s">
        <v>12</v>
      </c>
      <c r="C14" s="6" t="s">
        <v>13</v>
      </c>
      <c r="D14" s="6" t="s">
        <v>14</v>
      </c>
      <c r="E14" s="33" t="s">
        <v>15</v>
      </c>
      <c r="F14" s="34"/>
    </row>
    <row r="15" spans="2:6" ht="24" customHeight="1" x14ac:dyDescent="0.45">
      <c r="B15" s="7" t="s">
        <v>16</v>
      </c>
      <c r="C15" s="3">
        <v>30000</v>
      </c>
      <c r="D15" s="8" t="s">
        <v>17</v>
      </c>
      <c r="E15" s="32" t="s">
        <v>18</v>
      </c>
      <c r="F15" s="31"/>
    </row>
    <row r="16" spans="2:6" ht="24" customHeight="1" x14ac:dyDescent="0.45">
      <c r="B16" s="9" t="s">
        <v>19</v>
      </c>
      <c r="C16" s="3">
        <v>1.5</v>
      </c>
      <c r="D16" s="10" t="s">
        <v>20</v>
      </c>
      <c r="E16" s="43" t="s">
        <v>21</v>
      </c>
      <c r="F16" s="42"/>
    </row>
    <row r="17" spans="2:6" ht="24" customHeight="1" x14ac:dyDescent="0.45">
      <c r="B17" s="7" t="s">
        <v>22</v>
      </c>
      <c r="C17" s="12">
        <v>0.33</v>
      </c>
      <c r="D17" s="8" t="s">
        <v>20</v>
      </c>
      <c r="E17" s="32" t="s">
        <v>23</v>
      </c>
      <c r="F17" s="31"/>
    </row>
    <row r="18" spans="2:6" ht="24" customHeight="1" x14ac:dyDescent="0.45">
      <c r="B18" s="9" t="s">
        <v>24</v>
      </c>
      <c r="C18" s="12">
        <v>0.05</v>
      </c>
      <c r="D18" s="10" t="s">
        <v>20</v>
      </c>
      <c r="E18" s="43" t="s">
        <v>25</v>
      </c>
      <c r="F18" s="42"/>
    </row>
    <row r="19" spans="2:6" ht="24" customHeight="1" x14ac:dyDescent="0.45">
      <c r="B19" s="7" t="s">
        <v>26</v>
      </c>
      <c r="C19" s="3">
        <v>15000</v>
      </c>
      <c r="D19" s="8" t="s">
        <v>27</v>
      </c>
      <c r="E19" s="32" t="s">
        <v>28</v>
      </c>
      <c r="F19" s="31"/>
    </row>
    <row r="20" spans="2:6" ht="24" customHeight="1" x14ac:dyDescent="0.45">
      <c r="B20" s="9" t="s">
        <v>29</v>
      </c>
      <c r="C20" s="3">
        <v>5000</v>
      </c>
      <c r="D20" s="10" t="s">
        <v>27</v>
      </c>
      <c r="E20" s="43" t="s">
        <v>30</v>
      </c>
      <c r="F20" s="42"/>
    </row>
    <row r="21" spans="2:6" ht="24" customHeight="1" x14ac:dyDescent="0.45">
      <c r="B21" s="7" t="s">
        <v>31</v>
      </c>
      <c r="C21" s="3">
        <v>2</v>
      </c>
      <c r="D21" s="8" t="s">
        <v>32</v>
      </c>
      <c r="E21" s="32" t="s">
        <v>33</v>
      </c>
      <c r="F21" s="31"/>
    </row>
    <row r="22" spans="2:6" ht="24" customHeight="1" x14ac:dyDescent="0.45">
      <c r="B22" s="9" t="s">
        <v>34</v>
      </c>
      <c r="C22" s="3">
        <v>8</v>
      </c>
      <c r="D22" s="10" t="s">
        <v>20</v>
      </c>
      <c r="E22" s="43"/>
      <c r="F22" s="42"/>
    </row>
    <row r="23" spans="2:6" ht="24" customHeight="1" x14ac:dyDescent="0.45">
      <c r="B23" s="7" t="s">
        <v>35</v>
      </c>
      <c r="C23" s="3">
        <v>250</v>
      </c>
      <c r="D23" s="8" t="s">
        <v>36</v>
      </c>
      <c r="E23" s="32"/>
      <c r="F23" s="31"/>
    </row>
    <row r="24" spans="2:6" ht="5" customHeight="1" x14ac:dyDescent="0.45"/>
    <row r="25" spans="2:6" ht="25" customHeight="1" x14ac:dyDescent="0.45">
      <c r="B25" s="6" t="s">
        <v>37</v>
      </c>
      <c r="C25" s="6" t="s">
        <v>13</v>
      </c>
      <c r="D25" s="6" t="s">
        <v>14</v>
      </c>
      <c r="E25" s="33" t="s">
        <v>15</v>
      </c>
      <c r="F25" s="34"/>
    </row>
    <row r="26" spans="2:6" ht="24" customHeight="1" x14ac:dyDescent="0.45">
      <c r="B26" s="7" t="s">
        <v>38</v>
      </c>
      <c r="C26" s="13">
        <v>8.6400000000000001E-3</v>
      </c>
      <c r="D26" s="8" t="s">
        <v>39</v>
      </c>
      <c r="E26" s="32" t="s">
        <v>40</v>
      </c>
      <c r="F26" s="31"/>
    </row>
    <row r="27" spans="2:6" ht="24" customHeight="1" x14ac:dyDescent="0.45">
      <c r="B27" s="9" t="s">
        <v>41</v>
      </c>
      <c r="C27" s="3">
        <v>10</v>
      </c>
      <c r="D27" s="10" t="s">
        <v>42</v>
      </c>
      <c r="E27" s="43" t="s">
        <v>43</v>
      </c>
      <c r="F27" s="42"/>
    </row>
    <row r="28" spans="2:6" ht="24" customHeight="1" x14ac:dyDescent="0.45">
      <c r="B28" s="7" t="s">
        <v>44</v>
      </c>
      <c r="C28" s="3">
        <v>2778</v>
      </c>
      <c r="D28" s="8" t="s">
        <v>45</v>
      </c>
      <c r="E28" s="32" t="s">
        <v>46</v>
      </c>
      <c r="F28" s="31"/>
    </row>
    <row r="31" spans="2:6" ht="30" customHeight="1" x14ac:dyDescent="0.45">
      <c r="B31" s="28" t="s">
        <v>47</v>
      </c>
      <c r="C31" s="29"/>
      <c r="D31" s="29"/>
      <c r="E31" s="29"/>
      <c r="F31" s="29"/>
    </row>
    <row r="32" spans="2:6" ht="5" customHeight="1" x14ac:dyDescent="0.45"/>
    <row r="33" spans="2:6" ht="28" customHeight="1" x14ac:dyDescent="0.45">
      <c r="B33" s="6" t="s">
        <v>48</v>
      </c>
      <c r="C33" s="6" t="s">
        <v>49</v>
      </c>
      <c r="D33" s="33" t="s">
        <v>50</v>
      </c>
      <c r="E33" s="34"/>
      <c r="F33" s="14" t="s">
        <v>51</v>
      </c>
    </row>
    <row r="34" spans="2:6" ht="28" customHeight="1" x14ac:dyDescent="0.45">
      <c r="B34" s="2" t="s">
        <v>52</v>
      </c>
      <c r="C34" s="15">
        <f>(C19+C16*C15)*C8+(C20+C17*C15)*(1-C8)</f>
        <v>37450</v>
      </c>
      <c r="D34" s="30">
        <f>C9+IF(C7&gt;0,C10/C7,0)+C18*C15</f>
        <v>1720</v>
      </c>
      <c r="E34" s="31"/>
      <c r="F34" s="16">
        <f>C34-D34</f>
        <v>35730</v>
      </c>
    </row>
    <row r="35" spans="2:6" ht="28" customHeight="1" x14ac:dyDescent="0.45">
      <c r="B35" s="4" t="s">
        <v>53</v>
      </c>
      <c r="C35" s="17">
        <f>C34*C7</f>
        <v>112350000</v>
      </c>
      <c r="D35" s="48">
        <f>D34*C7</f>
        <v>5160000</v>
      </c>
      <c r="E35" s="42"/>
      <c r="F35" s="18">
        <f>C35-D35</f>
        <v>107190000</v>
      </c>
    </row>
    <row r="36" spans="2:6" ht="28" customHeight="1" x14ac:dyDescent="0.45">
      <c r="B36" s="2" t="s">
        <v>54</v>
      </c>
      <c r="C36" s="44">
        <f>IF(D35&gt;0,F35/D35*100,0)</f>
        <v>2077.3255813953488</v>
      </c>
      <c r="D36" s="31"/>
      <c r="E36" s="31"/>
      <c r="F36" s="19">
        <f>IF(F35&gt;0,D35/(F35/365),0)</f>
        <v>17.570668905681501</v>
      </c>
    </row>
    <row r="37" spans="2:6" ht="18" customHeight="1" x14ac:dyDescent="0.45">
      <c r="B37" s="43"/>
      <c r="C37" s="63"/>
      <c r="D37" s="63"/>
      <c r="E37" s="63"/>
      <c r="F37" s="11" t="s">
        <v>55</v>
      </c>
    </row>
    <row r="39" spans="2:6" ht="30" customHeight="1" x14ac:dyDescent="0.45">
      <c r="B39" s="28" t="s">
        <v>56</v>
      </c>
      <c r="C39" s="29"/>
      <c r="D39" s="29"/>
      <c r="E39" s="29"/>
      <c r="F39" s="29"/>
    </row>
    <row r="40" spans="2:6" ht="5" customHeight="1" x14ac:dyDescent="0.45"/>
    <row r="41" spans="2:6" ht="28" customHeight="1" x14ac:dyDescent="0.45">
      <c r="B41" s="6" t="s">
        <v>48</v>
      </c>
      <c r="C41" s="6" t="s">
        <v>57</v>
      </c>
      <c r="D41" s="33" t="s">
        <v>58</v>
      </c>
      <c r="E41" s="34"/>
      <c r="F41" s="14" t="s">
        <v>59</v>
      </c>
    </row>
    <row r="42" spans="2:6" ht="28" customHeight="1" x14ac:dyDescent="0.45">
      <c r="B42" s="2" t="s">
        <v>60</v>
      </c>
      <c r="C42" s="20">
        <f>C16*C8+C17*(1-C8)</f>
        <v>0.91500000000000004</v>
      </c>
      <c r="D42" s="59">
        <f>C18</f>
        <v>0.05</v>
      </c>
      <c r="E42" s="31"/>
      <c r="F42" s="21">
        <f>C42-D42</f>
        <v>0.86499999999999999</v>
      </c>
    </row>
    <row r="43" spans="2:6" ht="28" customHeight="1" x14ac:dyDescent="0.45">
      <c r="B43" s="4" t="s">
        <v>61</v>
      </c>
      <c r="C43" s="22">
        <f>C42*C7</f>
        <v>2745</v>
      </c>
      <c r="D43" s="56">
        <f>D42*C7</f>
        <v>150</v>
      </c>
      <c r="E43" s="42"/>
      <c r="F43" s="23">
        <f>C43-D43</f>
        <v>2595</v>
      </c>
    </row>
    <row r="44" spans="2:6" ht="28" customHeight="1" x14ac:dyDescent="0.45">
      <c r="B44" s="2" t="s">
        <v>62</v>
      </c>
      <c r="C44" s="24">
        <f>C43/C22</f>
        <v>343.125</v>
      </c>
      <c r="D44" s="64">
        <f>D43/C22</f>
        <v>18.75</v>
      </c>
      <c r="E44" s="31"/>
      <c r="F44" s="25">
        <f>C44-D44</f>
        <v>324.375</v>
      </c>
    </row>
    <row r="46" spans="2:6" ht="30" customHeight="1" x14ac:dyDescent="0.45">
      <c r="B46" s="28" t="s">
        <v>63</v>
      </c>
      <c r="C46" s="29"/>
      <c r="D46" s="29"/>
      <c r="E46" s="29"/>
      <c r="F46" s="29"/>
    </row>
    <row r="47" spans="2:6" ht="5" customHeight="1" x14ac:dyDescent="0.45"/>
    <row r="48" spans="2:6" ht="28" customHeight="1" x14ac:dyDescent="0.45">
      <c r="B48" s="6" t="s">
        <v>12</v>
      </c>
      <c r="C48" s="33" t="s">
        <v>64</v>
      </c>
      <c r="D48" s="34"/>
      <c r="E48" s="39" t="s">
        <v>65</v>
      </c>
      <c r="F48" s="40"/>
    </row>
    <row r="49" spans="2:6" ht="28" customHeight="1" x14ac:dyDescent="0.45">
      <c r="B49" s="2" t="s">
        <v>66</v>
      </c>
      <c r="C49" s="55" t="e">
        <f>계약건수×A4매수 + 등기봉투</f>
        <v>#NAME?</v>
      </c>
      <c r="D49" s="31"/>
      <c r="E49" s="57">
        <f>C7*C21+C7*(1-C8)*1</f>
        <v>7500</v>
      </c>
      <c r="F49" s="27"/>
    </row>
    <row r="50" spans="2:6" ht="28" customHeight="1" x14ac:dyDescent="0.45">
      <c r="B50" s="4" t="s">
        <v>67</v>
      </c>
      <c r="C50" s="49" t="e">
        <f>종이절감량 * 장당 CO₂</f>
        <v>#NAME?</v>
      </c>
      <c r="D50" s="42"/>
      <c r="E50" s="26">
        <f>E49*C26</f>
        <v>64.8</v>
      </c>
      <c r="F50" s="27"/>
    </row>
    <row r="51" spans="2:6" ht="28" customHeight="1" x14ac:dyDescent="0.45">
      <c r="B51" s="2" t="s">
        <v>68</v>
      </c>
      <c r="C51" s="55" t="e">
        <f>종이절감량 * 장당 물</f>
        <v>#NAME?</v>
      </c>
      <c r="D51" s="31"/>
      <c r="E51" s="45">
        <f>E49*C27</f>
        <v>75000</v>
      </c>
      <c r="F51" s="27"/>
    </row>
    <row r="52" spans="2:6" ht="28" customHeight="1" x14ac:dyDescent="0.45">
      <c r="B52" s="4" t="s">
        <v>69</v>
      </c>
      <c r="C52" s="49" t="e">
        <f>종이절감량 * 0.00036</f>
        <v>#NAME?</v>
      </c>
      <c r="D52" s="42"/>
      <c r="E52" s="35">
        <f>E49*0.00036</f>
        <v>2.7</v>
      </c>
      <c r="F52" s="27"/>
    </row>
    <row r="54" spans="2:6" ht="30" customHeight="1" x14ac:dyDescent="0.45">
      <c r="B54" s="28" t="s">
        <v>70</v>
      </c>
      <c r="C54" s="29"/>
      <c r="D54" s="29"/>
      <c r="E54" s="29"/>
      <c r="F54" s="29"/>
    </row>
    <row r="55" spans="2:6" ht="5" customHeight="1" x14ac:dyDescent="0.45"/>
    <row r="56" spans="2:6" ht="32" customHeight="1" x14ac:dyDescent="0.45">
      <c r="B56" s="2" t="s">
        <v>71</v>
      </c>
      <c r="C56" s="60">
        <f>F35</f>
        <v>107190000</v>
      </c>
      <c r="D56" s="31"/>
      <c r="E56" s="31"/>
      <c r="F56" s="31"/>
    </row>
    <row r="57" spans="2:6" ht="32" customHeight="1" x14ac:dyDescent="0.45">
      <c r="B57" s="4" t="s">
        <v>72</v>
      </c>
      <c r="C57" s="41">
        <f>C36/100</f>
        <v>20.773255813953487</v>
      </c>
      <c r="D57" s="42"/>
      <c r="E57" s="42"/>
      <c r="F57" s="42"/>
    </row>
    <row r="58" spans="2:6" ht="32" customHeight="1" x14ac:dyDescent="0.45">
      <c r="B58" s="2" t="s">
        <v>73</v>
      </c>
      <c r="C58" s="54">
        <f>F44</f>
        <v>324.375</v>
      </c>
      <c r="D58" s="31"/>
      <c r="E58" s="31"/>
      <c r="F58" s="31"/>
    </row>
    <row r="59" spans="2:6" ht="32" customHeight="1" x14ac:dyDescent="0.45">
      <c r="B59" s="4" t="s">
        <v>66</v>
      </c>
      <c r="C59" s="61">
        <f>E49</f>
        <v>7500</v>
      </c>
      <c r="D59" s="42"/>
      <c r="E59" s="42"/>
      <c r="F59" s="42"/>
    </row>
    <row r="60" spans="2:6" ht="32" customHeight="1" x14ac:dyDescent="0.45">
      <c r="B60" s="2" t="s">
        <v>74</v>
      </c>
      <c r="C60" s="58">
        <f>E50</f>
        <v>64.8</v>
      </c>
      <c r="D60" s="31"/>
      <c r="E60" s="31"/>
      <c r="F60" s="31"/>
    </row>
    <row r="62" spans="2:6" ht="5" customHeight="1" x14ac:dyDescent="0.45"/>
    <row r="63" spans="2:6" ht="35" customHeight="1" x14ac:dyDescent="0.45">
      <c r="B63" s="55" t="s">
        <v>75</v>
      </c>
      <c r="C63" s="62"/>
      <c r="D63" s="62"/>
      <c r="E63" s="62"/>
      <c r="F63" s="62"/>
    </row>
  </sheetData>
  <mergeCells count="51">
    <mergeCell ref="B63:F63"/>
    <mergeCell ref="E22:F22"/>
    <mergeCell ref="B37:E37"/>
    <mergeCell ref="E18:F18"/>
    <mergeCell ref="D44:E44"/>
    <mergeCell ref="E21:F21"/>
    <mergeCell ref="C60:F60"/>
    <mergeCell ref="E27:F27"/>
    <mergeCell ref="C52:D52"/>
    <mergeCell ref="E26:F26"/>
    <mergeCell ref="C48:D48"/>
    <mergeCell ref="D42:E42"/>
    <mergeCell ref="C56:F56"/>
    <mergeCell ref="D33:E33"/>
    <mergeCell ref="C59:F59"/>
    <mergeCell ref="B1:F1"/>
    <mergeCell ref="D41:E41"/>
    <mergeCell ref="D8:F8"/>
    <mergeCell ref="C58:F58"/>
    <mergeCell ref="C49:D49"/>
    <mergeCell ref="E15:F15"/>
    <mergeCell ref="D43:E43"/>
    <mergeCell ref="C51:D51"/>
    <mergeCell ref="E49:F49"/>
    <mergeCell ref="D10:F10"/>
    <mergeCell ref="E16:F16"/>
    <mergeCell ref="E25:F25"/>
    <mergeCell ref="B5:F5"/>
    <mergeCell ref="B2:F2"/>
    <mergeCell ref="D35:E35"/>
    <mergeCell ref="E19:F19"/>
    <mergeCell ref="E28:F28"/>
    <mergeCell ref="C50:D50"/>
    <mergeCell ref="D9:F9"/>
    <mergeCell ref="C57:F57"/>
    <mergeCell ref="B12:F12"/>
    <mergeCell ref="E20:F20"/>
    <mergeCell ref="C36:E36"/>
    <mergeCell ref="B39:F39"/>
    <mergeCell ref="E51:F51"/>
    <mergeCell ref="E14:F14"/>
    <mergeCell ref="E52:F52"/>
    <mergeCell ref="D7:F7"/>
    <mergeCell ref="E17:F17"/>
    <mergeCell ref="E48:F48"/>
    <mergeCell ref="E50:F50"/>
    <mergeCell ref="B54:F54"/>
    <mergeCell ref="D34:E34"/>
    <mergeCell ref="E23:F23"/>
    <mergeCell ref="B31:F31"/>
    <mergeCell ref="B46:F46"/>
  </mergeCells>
  <phoneticPr fontId="14" type="noConversion"/>
  <pageMargins left="0.5" right="0.5" top="0.5" bottom="0.5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ROI 시뮬레이터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 Ryan</cp:lastModifiedBy>
  <dcterms:created xsi:type="dcterms:W3CDTF">2026-02-12T02:11:31Z</dcterms:created>
  <dcterms:modified xsi:type="dcterms:W3CDTF">2026-02-12T04:01:33Z</dcterms:modified>
</cp:coreProperties>
</file>